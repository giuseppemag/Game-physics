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68" windowWidth="15180" windowHeight="7716" tabRatio="637" activeTab="1"/>
  </bookViews>
  <sheets>
    <sheet name="Course Overview" sheetId="2" r:id="rId1"/>
    <sheet name="Learning Objectives" sheetId="3" r:id="rId2"/>
    <sheet name="Test Blueprint" sheetId="1" r:id="rId3"/>
    <sheet name="Test Quality" sheetId="7" r:id="rId4"/>
    <sheet name="TC Feedback" sheetId="10" state="hidden" r:id="rId5"/>
    <sheet name="IGAD Compentencies" sheetId="4" state="hidden" r:id="rId6"/>
    <sheet name="IGAD Variations+Levels" sheetId="8" state="hidden" r:id="rId7"/>
    <sheet name="IGAD Courses" sheetId="9" state="hidden" r:id="rId8"/>
    <sheet name="Tables" sheetId="11" state="hidden" r:id="rId9"/>
  </sheets>
  <definedNames>
    <definedName name="_xlnm._FilterDatabase" localSheetId="0" hidden="1">'Course Overview'!$B$8:$C$14</definedName>
    <definedName name="Assignment1PointSubtotal">'Test Blueprint'!#REF!</definedName>
    <definedName name="Assignment2PointSubtotal">'Test Blueprint'!#REF!</definedName>
    <definedName name="Course_Compentencies">'Learning Objectives'!$B$10:$B$17</definedName>
    <definedName name="Indy_Compentencies">'IGAD Compentencies'!$B$3:$B$28</definedName>
    <definedName name="Learning_Objective_Keys">'Learning Objectives'!#REF!</definedName>
    <definedName name="Learning_Objectives">'Learning Objectives'!$C$10:$C$17</definedName>
    <definedName name="Levels">'IGAD Variations+Levels'!$E$3:$E$7</definedName>
    <definedName name="Variations">'IGAD Variations+Levels'!$B$3:$B$7</definedName>
  </definedNames>
  <calcPr calcId="145621"/>
</workbook>
</file>

<file path=xl/calcChain.xml><?xml version="1.0" encoding="utf-8"?>
<calcChain xmlns="http://schemas.openxmlformats.org/spreadsheetml/2006/main">
  <c r="C9" i="7" l="1"/>
  <c r="F7" i="1" l="1"/>
  <c r="B16" i="1"/>
  <c r="D24" i="2" l="1"/>
  <c r="E25" i="2" l="1"/>
  <c r="C7" i="10" l="1"/>
  <c r="C6" i="10"/>
  <c r="C9" i="10"/>
  <c r="C8" i="10"/>
  <c r="B15" i="1"/>
  <c r="B10" i="1" l="1"/>
  <c r="B9" i="1"/>
  <c r="H7" i="1"/>
  <c r="G7" i="1"/>
  <c r="E7" i="1"/>
  <c r="D7" i="1"/>
  <c r="C7" i="1"/>
  <c r="C6" i="3"/>
  <c r="C5" i="3"/>
  <c r="C8" i="3"/>
  <c r="C7" i="3"/>
  <c r="H6" i="1" l="1"/>
  <c r="H5" i="1"/>
  <c r="C6" i="1"/>
  <c r="C5" i="1"/>
  <c r="C6" i="7"/>
  <c r="B14" i="1"/>
  <c r="B13" i="1"/>
  <c r="B12" i="1" l="1"/>
  <c r="B11" i="1"/>
  <c r="C8" i="7" l="1"/>
  <c r="C7" i="7"/>
  <c r="C5" i="7"/>
</calcChain>
</file>

<file path=xl/sharedStrings.xml><?xml version="1.0" encoding="utf-8"?>
<sst xmlns="http://schemas.openxmlformats.org/spreadsheetml/2006/main" count="340" uniqueCount="265">
  <si>
    <t>Lecturer:</t>
  </si>
  <si>
    <t xml:space="preserve">Date compiled: </t>
  </si>
  <si>
    <t>IGAD</t>
  </si>
  <si>
    <t>TEST BLUEPRINT</t>
  </si>
  <si>
    <t>Course Compentencies</t>
  </si>
  <si>
    <t>Learning Objectives</t>
  </si>
  <si>
    <t>Study Programme:</t>
  </si>
  <si>
    <t xml:space="preserve">Date Compiled: </t>
  </si>
  <si>
    <t>LEARNING OBJECTIVES</t>
  </si>
  <si>
    <t>COURSE OVERVIEW</t>
  </si>
  <si>
    <t>Credits:</t>
  </si>
  <si>
    <t>Retake Assessment:</t>
  </si>
  <si>
    <t>Assessment Peer Reviewed By:</t>
  </si>
  <si>
    <r>
      <t>Course / Module:</t>
    </r>
    <r>
      <rPr>
        <sz val="10"/>
        <rFont val="Arial"/>
        <family val="2"/>
      </rPr>
      <t xml:space="preserve"> </t>
    </r>
  </si>
  <si>
    <t>Course / Module:</t>
  </si>
  <si>
    <t>Yes</t>
  </si>
  <si>
    <t>Variation:</t>
  </si>
  <si>
    <t>IGAD Variations</t>
  </si>
  <si>
    <t>Programming</t>
  </si>
  <si>
    <t>IGAD Levels</t>
  </si>
  <si>
    <t>Level 1</t>
  </si>
  <si>
    <t>Level 2</t>
  </si>
  <si>
    <t>Level 3</t>
  </si>
  <si>
    <t>Level 4</t>
  </si>
  <si>
    <t>A1. Graphic Communication</t>
  </si>
  <si>
    <t>A2. Technical design</t>
  </si>
  <si>
    <t>A3. Production design</t>
  </si>
  <si>
    <t>A4. World Building</t>
  </si>
  <si>
    <t>A5. Advanced modelling</t>
  </si>
  <si>
    <t>A6. Texturing</t>
  </si>
  <si>
    <t>A7. Animation</t>
  </si>
  <si>
    <t>A8. Lighting and rendering</t>
  </si>
  <si>
    <t>G1. Game concept</t>
  </si>
  <si>
    <t xml:space="preserve">G2. Documentation </t>
  </si>
  <si>
    <t>G3. Game/level design</t>
  </si>
  <si>
    <t>G4. Audio-Visual Design and Production</t>
  </si>
  <si>
    <t>G5. Narrative design</t>
  </si>
  <si>
    <t>G6. Production Management</t>
  </si>
  <si>
    <t>G7. Quality assurance</t>
  </si>
  <si>
    <t>G8. Knowledge Updating</t>
  </si>
  <si>
    <t>G9. Professional Presentation</t>
  </si>
  <si>
    <t xml:space="preserve">P1. AI programming </t>
  </si>
  <si>
    <t>P2. Tools programming</t>
  </si>
  <si>
    <t xml:space="preserve">P3. Game engine programming </t>
  </si>
  <si>
    <t>P4. Development with resource constraints</t>
  </si>
  <si>
    <t>P5. 3D engine programming</t>
  </si>
  <si>
    <t>P6. Audio programming</t>
  </si>
  <si>
    <t>P7. Platform specific programming</t>
  </si>
  <si>
    <t>P8. Game play programming</t>
  </si>
  <si>
    <t>P9. Multiplayer programming</t>
  </si>
  <si>
    <t>Visual Arts</t>
  </si>
  <si>
    <t>Design &amp; Production</t>
  </si>
  <si>
    <t>Indie Game Development</t>
  </si>
  <si>
    <t>IGAD Compentencies</t>
  </si>
  <si>
    <t>IGAD Course Codes &amp; Names</t>
  </si>
  <si>
    <t>Retake options</t>
  </si>
  <si>
    <t>Same assessment</t>
  </si>
  <si>
    <t>FGA1.GL1-01 Gamelab 1</t>
  </si>
  <si>
    <t>FGA1.GL2-02 Gamelab 2</t>
  </si>
  <si>
    <t>FGA1.GTF1-05 Graphic Technology Fundamentals 1</t>
  </si>
  <si>
    <t>FGA1.GTF2-02 Graphic Technology Fundamentals 2</t>
  </si>
  <si>
    <t>FGA1.GDF-01 Game Design Fundamentals</t>
  </si>
  <si>
    <t>FGA1.GP1-01 Game Production 1</t>
  </si>
  <si>
    <t>FGA1.GP2-01 Game Production 2</t>
  </si>
  <si>
    <t>FGA1.SP1-01 Study Planning 1</t>
  </si>
  <si>
    <t>FGA1.WS1-01 Writing Skills 1</t>
  </si>
  <si>
    <t>FGA1.AV1-02 Audio Visualisation 1</t>
  </si>
  <si>
    <t>FGA1.GE1-01 Game Engines 1</t>
  </si>
  <si>
    <t>FGA1.SAD-01 Software Architecture and Design</t>
  </si>
  <si>
    <t>FGA1.LU3-02 Ludology 3</t>
  </si>
  <si>
    <t>FGA1.LU4-02 Ludology 4</t>
  </si>
  <si>
    <t>FGA1.MA1-01 Mathematics 1</t>
  </si>
  <si>
    <t>FGA1.MA2-01 Mathematics 2</t>
  </si>
  <si>
    <t>FGA1.MA3-01 Mathematics 3</t>
  </si>
  <si>
    <t>FGA1.MA4-01 Mathematics 4</t>
  </si>
  <si>
    <t>FGA1.PR1-02 Programming 1</t>
  </si>
  <si>
    <t>FGA1.PR2-02 Programming 2</t>
  </si>
  <si>
    <t>FGA1.PR3-02 Programming 3</t>
  </si>
  <si>
    <t>FGA1.PR4-02 Programming 4</t>
  </si>
  <si>
    <t>FGA2.GL3-01 Gamelab 3</t>
  </si>
  <si>
    <t>FGA2.GL4-01 Gamelab 4</t>
  </si>
  <si>
    <t>FGA2.MD3-02 Modelling 3</t>
  </si>
  <si>
    <t>FGA1.GP4-02 Game Production 4</t>
  </si>
  <si>
    <t>FGA1.CD1-01 Concept Design 1</t>
  </si>
  <si>
    <t>FGA1.CD3-01 Concept Design 3</t>
  </si>
  <si>
    <t>FGA1.AT1-02 Art Theory 1</t>
  </si>
  <si>
    <t>FGA1.MDI-01 Introduction to Modelling</t>
  </si>
  <si>
    <t>FGA1.TX1-01 Texture 1</t>
  </si>
  <si>
    <t>FGA1.VD1-02 2D Animation</t>
  </si>
  <si>
    <t>FGA1.VD2-02 User Interfaces</t>
  </si>
  <si>
    <t>FGA1.MF1-01 Maths Fundamentals</t>
  </si>
  <si>
    <t>FGA1.GE2-01 Game Engines 2</t>
  </si>
  <si>
    <t>FGA1.CT1-02 Technology 1</t>
  </si>
  <si>
    <t>FGA1.CT2-02 Technology 2</t>
  </si>
  <si>
    <t>FGA1.GP3-02 Game Production 3</t>
  </si>
  <si>
    <t>FGA1.CD2-01 Concept Design 2</t>
  </si>
  <si>
    <t>FGA1.CD4-01 Concept Design 4</t>
  </si>
  <si>
    <t>FGA1.LU1-02 Ludology 1</t>
  </si>
  <si>
    <t>FGA1.LU2-02 Ludology 2</t>
  </si>
  <si>
    <t>FGA1.CG1-01 Computer Graphics 1</t>
  </si>
  <si>
    <t>FGA1.CG2-01 Computer Graphics 2</t>
  </si>
  <si>
    <t>FGA1.AT2-02 Art Theory 2</t>
  </si>
  <si>
    <t>FGA1.IPM-01 Introduction to Procedural Modelling</t>
  </si>
  <si>
    <t>FGA1.MD1-02 Modelling 1</t>
  </si>
  <si>
    <t>FGA1.MD2-02 Modelling 2</t>
  </si>
  <si>
    <t>FGA1.DS1-03 Drawing Skills 1</t>
  </si>
  <si>
    <t>FGA1.DS2-03 Drawing Skills 2</t>
  </si>
  <si>
    <t>FGA1.TX2-01 Texture 2</t>
  </si>
  <si>
    <t>FGA1.AN1-02 Animation 1</t>
  </si>
  <si>
    <t>FGA1.AN2-02 Animation 2</t>
  </si>
  <si>
    <t>FGA1.AN3-02 Animation 3</t>
  </si>
  <si>
    <t>FGA1.RE1-02 Rendering 1</t>
  </si>
  <si>
    <t>FGA2.HA1-02 Hardware 1</t>
  </si>
  <si>
    <t>FGA2.HA2-02 Hardware 2</t>
  </si>
  <si>
    <t>FGA2.HA3-02 Hardware 3</t>
  </si>
  <si>
    <t>FGA2.HA4-02 Hardware 4</t>
  </si>
  <si>
    <t>FGA2.GT1-02 Game Technology 1</t>
  </si>
  <si>
    <t>FGA2.GT2-02 Game Technology 2</t>
  </si>
  <si>
    <t>FGA2.GT3-02 Game Technology 3</t>
  </si>
  <si>
    <t>FGA2.GT4-02 Game Technology 4</t>
  </si>
  <si>
    <t>FGA2.GRP1-02 Graphics Programming 1</t>
  </si>
  <si>
    <t>FGA2.GRP2-02 Graphics Programming 2</t>
  </si>
  <si>
    <t>FGA2.GRP3-02 Graphics Programming 3</t>
  </si>
  <si>
    <t>FGA2.GRP4-02 Graphics Programming 4</t>
  </si>
  <si>
    <t>FGA3.GL5-01 Gamelab 5</t>
  </si>
  <si>
    <t>FGA3.ENT-01 Entrepreneurship</t>
  </si>
  <si>
    <t>FGA3.WS2-01 Writing Skills 2</t>
  </si>
  <si>
    <t>FGA3.IP-01 Industry Preparation</t>
  </si>
  <si>
    <t>FGA3.SP2-01 Study Planning 2</t>
  </si>
  <si>
    <t>FGA3.AGT3-02 Advanced Game Technology 3</t>
  </si>
  <si>
    <t>FGA3.AGT4-02 Advanced Game Technology 4</t>
  </si>
  <si>
    <t>FGA3.AGT5-02 Advanced Game Technology 5</t>
  </si>
  <si>
    <t>FGA3.AGT6-04 Advanced Game Technology 6</t>
  </si>
  <si>
    <t>FGA3.AGT7-01 Advanced Game Technology 7</t>
  </si>
  <si>
    <t>FGA3.SP-01 Specialisation Project</t>
  </si>
  <si>
    <t>ASBM4.1RM-01 Research Methods</t>
  </si>
  <si>
    <t>ASBM4.2SACB-01 Soc. App. Consumer Beh</t>
  </si>
  <si>
    <t>ASBM4.3BA-01 Business Administration</t>
  </si>
  <si>
    <t>ASBM4.4ASM-01 Adv. Strat. Marketing</t>
  </si>
  <si>
    <t>ASBM4.5RPT-01 Res. Practica Training</t>
  </si>
  <si>
    <t>ASBM4.DRP-01 Dissertation Research Project</t>
  </si>
  <si>
    <t>FGA4.DISC-01 Dissertation</t>
  </si>
  <si>
    <t>FGA4.SPS-01 Specialisation Stage</t>
  </si>
  <si>
    <t>FGA4.GRP-01 Graduation</t>
  </si>
  <si>
    <t>FGA2.AY1-01 Anatomy 1</t>
  </si>
  <si>
    <t>FGA2.SB-01 Storyboarding</t>
  </si>
  <si>
    <t>FGA2.TX3-02 Textures 3</t>
  </si>
  <si>
    <t>FGA2.AR1-02 Architecture &amp; Environment 1</t>
  </si>
  <si>
    <t>FGA2.AR2-02 Architecture &amp; Environment 2</t>
  </si>
  <si>
    <t>FGA2.WB1-02 World Building 1</t>
  </si>
  <si>
    <t>FGA2.WB2-02 World Building 2</t>
  </si>
  <si>
    <t>FGA2.LF1-02 Life Drawing 1</t>
  </si>
  <si>
    <t>FGA2.LF2-02 Life Drawing 2</t>
  </si>
  <si>
    <t>FGA2.AN4-02 Animation 4</t>
  </si>
  <si>
    <t>FGA2.RE2-01 Rendering 2</t>
  </si>
  <si>
    <t>FGA3.AVA1-01 Advanced Visual Arts 1</t>
  </si>
  <si>
    <t>FGA3.AVA2-01 Advanced Visual Arts 2</t>
  </si>
  <si>
    <t>FGA3.AVA4-01 Advanced Visual Arts 4</t>
  </si>
  <si>
    <t>FGA3.AVA5-01 Advanced Visual Arts 5</t>
  </si>
  <si>
    <t>FGA2.LD1-02 Level Design 1</t>
  </si>
  <si>
    <t>FGA2.LD2-02 Level Design 2</t>
  </si>
  <si>
    <t>FGA2.LD3-02 Level Design 3</t>
  </si>
  <si>
    <t>FGA2.BM3-02 Business Management 3</t>
  </si>
  <si>
    <t>FGA2.CG3-02 Computer Graphics 3</t>
  </si>
  <si>
    <t>FGA2.TX1-01 Texture 1</t>
  </si>
  <si>
    <t>FGA2.TX2-02 Texture 2</t>
  </si>
  <si>
    <t>FGA2.MB1-02 Mobile 1</t>
  </si>
  <si>
    <t>FGA2.MB2-02 Mobile 2</t>
  </si>
  <si>
    <t>FGA2.WP1-01 Web Programming 1</t>
  </si>
  <si>
    <t>FGA2.WP2-01 Web Programming 2</t>
  </si>
  <si>
    <t>FGA2.MDI-01 Introduction to Modelling</t>
  </si>
  <si>
    <t>FGA3.AD1-01 Advanced Design 1</t>
  </si>
  <si>
    <t>FGA3.AGT8-01 Advanced Game Technology 8</t>
  </si>
  <si>
    <t>FGA2.BM1-02 Business Management 1</t>
  </si>
  <si>
    <t>FGA2.BM2-02 Business Management 2</t>
  </si>
  <si>
    <t>FGA2.NA1-03 Narratology 1</t>
  </si>
  <si>
    <t>FGA2.NA2-03 Narratology 2</t>
  </si>
  <si>
    <t>FGA2.NA3-03 Narratology 3</t>
  </si>
  <si>
    <t>FGA2.PRF-01 Programming Fundamentals</t>
  </si>
  <si>
    <t>FGA2.LD4-02 Level Design 4</t>
  </si>
  <si>
    <t>FGA3.AGD1-01 Advanced Game Design 1</t>
  </si>
  <si>
    <t>FGA3.AGD2-01 Advanced Game Design 2</t>
  </si>
  <si>
    <t>FGA3.AGD3-01 Advanced Game Design 3</t>
  </si>
  <si>
    <t>FGA3.AGD4-01 Advanced Game Design 4</t>
  </si>
  <si>
    <t>FGA3.AGD5-01 Advanced Game Design 5</t>
  </si>
  <si>
    <t>Test Types</t>
  </si>
  <si>
    <t>Practical 2D assignment</t>
  </si>
  <si>
    <t>Practical 3D assignment</t>
  </si>
  <si>
    <t>Written assignment</t>
  </si>
  <si>
    <t>Essay</t>
  </si>
  <si>
    <t>Participation in debates</t>
  </si>
  <si>
    <t>Group discussion</t>
  </si>
  <si>
    <t>Exam</t>
  </si>
  <si>
    <t>Home work</t>
  </si>
  <si>
    <t>General progression</t>
  </si>
  <si>
    <t>Test Weights</t>
  </si>
  <si>
    <t>Test 1:</t>
  </si>
  <si>
    <t>Test 2:</t>
  </si>
  <si>
    <t>Test 3:</t>
  </si>
  <si>
    <t>Test 4:</t>
  </si>
  <si>
    <t>Test 5:</t>
  </si>
  <si>
    <t>Test 6:</t>
  </si>
  <si>
    <t>FORM OF ASSESSMENT</t>
  </si>
  <si>
    <t>Course Code &amp; Name:</t>
  </si>
  <si>
    <t>Credits</t>
  </si>
  <si>
    <t>Boolean</t>
  </si>
  <si>
    <t>X</t>
  </si>
  <si>
    <t>Boolean 2</t>
  </si>
  <si>
    <t>No</t>
  </si>
  <si>
    <t>Retake has Same quality level as original assessment?</t>
  </si>
  <si>
    <t>_</t>
  </si>
  <si>
    <t>First name Last name</t>
  </si>
  <si>
    <t>Please complete only the yellow fields on all sheets, all other fields are updated automatically</t>
  </si>
  <si>
    <t>Group assignment</t>
  </si>
  <si>
    <t>Portfolio submission</t>
  </si>
  <si>
    <t>Presentation</t>
  </si>
  <si>
    <t>EVIDENCE</t>
  </si>
  <si>
    <t>1. Has there been cooperation with colleagues?</t>
  </si>
  <si>
    <t>Form to be completed by a Testing Commitee member</t>
  </si>
  <si>
    <t xml:space="preserve">
</t>
  </si>
  <si>
    <t>TC FEEDBACK</t>
  </si>
  <si>
    <t>TEST WEIGHT in %</t>
  </si>
  <si>
    <t>Different assessment</t>
  </si>
  <si>
    <r>
      <t xml:space="preserve">Explain </t>
    </r>
    <r>
      <rPr>
        <sz val="10"/>
        <rFont val="Arial"/>
        <family val="2"/>
      </rPr>
      <t>(only in case of 'Different assessment')</t>
    </r>
    <r>
      <rPr>
        <b/>
        <sz val="10"/>
        <rFont val="Arial"/>
        <family val="2"/>
      </rPr>
      <t>:</t>
    </r>
  </si>
  <si>
    <t>FGA3.AD2-01 Advanced Design 2</t>
  </si>
  <si>
    <t>FGA3.AVA3-01 Advanced Visual Arts 3</t>
  </si>
  <si>
    <t>VALIDITY</t>
  </si>
  <si>
    <t>RELIABILITY</t>
  </si>
  <si>
    <t>PRACTICABILITY</t>
  </si>
  <si>
    <t>TRANSPARENCY</t>
  </si>
  <si>
    <t>The quality of tests is assessed on 4 aspects:</t>
  </si>
  <si>
    <t>Is the degree of difficulty appropriate?</t>
  </si>
  <si>
    <t>This is true if the test blueprint shows that the assessments cover all objectives.</t>
  </si>
  <si>
    <t>Are the students given adequate feedback to their results?</t>
  </si>
  <si>
    <t xml:space="preserve">Are the learning objectives represented in the tests as much as possible ? </t>
  </si>
  <si>
    <t xml:space="preserve">Did you develop the tests in consultation with colleagues? </t>
  </si>
  <si>
    <t>Are the tests fair: do the students get all the necessary information to complete them?</t>
  </si>
  <si>
    <t>Is it possible to complete the tests within the given time frame?</t>
  </si>
  <si>
    <t>Are the tests assessed by means of predefined, clear assessment criteria?</t>
  </si>
  <si>
    <t>QUALITY OF TESTS</t>
  </si>
  <si>
    <t>2. Is the test based on learning objectives?</t>
  </si>
  <si>
    <t>4. Are all learning objectives covered in the test blueprint?</t>
  </si>
  <si>
    <t>3. Are the learning objectives related to the competencies?</t>
  </si>
  <si>
    <t xml:space="preserve">5. Test construction: Has an overview of assessment criteria been drawn up?  </t>
  </si>
  <si>
    <t>6. Master or bachelor level: do criteria meet with the level of the program?
(see Dublin Descriptors?)</t>
  </si>
  <si>
    <t xml:space="preserve">7. Test analysis: has a quality check taken place?   
 Validity, Reliability, Practicability, Transparency. </t>
  </si>
  <si>
    <t>Knowledge &amp; Understanding</t>
  </si>
  <si>
    <t>Application</t>
  </si>
  <si>
    <t>Problemsolving</t>
  </si>
  <si>
    <t>Suggestions to improve</t>
  </si>
  <si>
    <t>RESEND THE FILLED IN FILE TOGETHER WITH FOLLOWING ATTACHMENTS:</t>
  </si>
  <si>
    <t>COURSE DESCRIPTION DOCUMENT</t>
  </si>
  <si>
    <t>ASSIGNMENT DOCUMENT FOR EVERY TEST</t>
  </si>
  <si>
    <t>MARKING SCHEME WITH CRITERIA FOR EVERY TEST</t>
  </si>
  <si>
    <t>Giuseppe Maggiore</t>
  </si>
  <si>
    <t>Note that the assignments are collapsed into a single one in case of retake.</t>
  </si>
  <si>
    <t>evidence: all learning objectives are covered by the tests</t>
  </si>
  <si>
    <t>evidence: I discussed the tests with Robbie, and received some feedback from Dino as well</t>
  </si>
  <si>
    <t>evidence: the tests cover all the materials presented in class, with no exception; dates and information about the tests is published in advance on Natschool, and again at the beginning of each test; the tests difficulty is relatively high, but the scores are such that room for making mistakes without excessive grade ripercussion is granted to students</t>
  </si>
  <si>
    <t>evidence: the assessment criteria are already published on Natschool</t>
  </si>
  <si>
    <r>
      <rPr>
        <b/>
        <sz val="10"/>
        <color rgb="FF000000"/>
        <rFont val="Arial Unicode MS"/>
        <family val="2"/>
      </rPr>
      <t>Build</t>
    </r>
    <r>
      <rPr>
        <sz val="10"/>
        <color rgb="FF000000"/>
        <rFont val="Arial Unicode MS"/>
        <family val="2"/>
      </rPr>
      <t xml:space="preserve"> a basic kinematic simulator with </t>
    </r>
    <r>
      <rPr>
        <u/>
        <sz val="10"/>
        <color rgb="FF000000"/>
        <rFont val="Arial Unicode MS"/>
        <family val="2"/>
      </rPr>
      <t>RK2</t>
    </r>
    <r>
      <rPr>
        <sz val="10"/>
        <color rgb="FF000000"/>
        <rFont val="Arial Unicode MS"/>
        <family val="2"/>
      </rPr>
      <t xml:space="preserve"> or </t>
    </r>
    <r>
      <rPr>
        <u/>
        <sz val="10"/>
        <color rgb="FF000000"/>
        <rFont val="Arial Unicode MS"/>
        <family val="2"/>
      </rPr>
      <t>RK4</t>
    </r>
    <r>
      <rPr>
        <sz val="10"/>
        <color rgb="FF000000"/>
        <rFont val="Arial Unicode MS"/>
        <family val="2"/>
      </rPr>
      <t xml:space="preserve">. The simulator tracks position, velocity, rotation, angular rotation, mass, intertia tensor of arbitrary convex polytopes. </t>
    </r>
    <r>
      <rPr>
        <b/>
        <sz val="10"/>
        <color rgb="FF000000"/>
        <rFont val="Arial Unicode MS"/>
        <family val="2"/>
      </rPr>
      <t xml:space="preserve">Understand </t>
    </r>
    <r>
      <rPr>
        <sz val="10"/>
        <color rgb="FF000000"/>
        <rFont val="Arial Unicode MS"/>
        <family val="2"/>
      </rPr>
      <t xml:space="preserve">the difference in precision, stability, and performance of different integration methods. </t>
    </r>
    <r>
      <rPr>
        <b/>
        <sz val="10"/>
        <color rgb="FF000000"/>
        <rFont val="Arial Unicode MS"/>
        <family val="2"/>
      </rPr>
      <t xml:space="preserve">Understand </t>
    </r>
    <r>
      <rPr>
        <sz val="10"/>
        <color rgb="FF000000"/>
        <rFont val="Arial Unicode MS"/>
        <family val="2"/>
      </rPr>
      <t>numerical drift for rotation matrices and quaternions, and how to compensate through normalization.</t>
    </r>
  </si>
  <si>
    <r>
      <rPr>
        <b/>
        <sz val="10"/>
        <color rgb="FF000000"/>
        <rFont val="Arial Unicode MS"/>
        <family val="2"/>
      </rPr>
      <t>Build</t>
    </r>
    <r>
      <rPr>
        <sz val="10"/>
        <color rgb="FF000000"/>
        <rFont val="Arial Unicode MS"/>
        <family val="2"/>
      </rPr>
      <t xml:space="preserve"> a system for SAT computation of arbitrary convex polytopes. </t>
    </r>
    <r>
      <rPr>
        <b/>
        <sz val="10"/>
        <color rgb="FF000000"/>
        <rFont val="Arial Unicode MS"/>
        <family val="2"/>
      </rPr>
      <t>Understand</t>
    </r>
    <r>
      <rPr>
        <sz val="10"/>
        <color rgb="FF000000"/>
        <rFont val="Arial Unicode MS"/>
        <family val="2"/>
      </rPr>
      <t xml:space="preserve"> the various kinds of contact manifold determination, and build at least one.</t>
    </r>
  </si>
  <si>
    <r>
      <rPr>
        <b/>
        <sz val="10"/>
        <color rgb="FF000000"/>
        <rFont val="Arial Unicode MS"/>
        <family val="2"/>
      </rPr>
      <t>Understand</t>
    </r>
    <r>
      <rPr>
        <sz val="10"/>
        <color rgb="FF000000"/>
        <rFont val="Arial Unicode MS"/>
        <family val="2"/>
      </rPr>
      <t xml:space="preserve"> how to reduce the number of expensive collision tests with broad-phase methods such as bounding spheres, bins, and axis algined bounding boxes (AABBs). </t>
    </r>
    <r>
      <rPr>
        <b/>
        <sz val="10"/>
        <color rgb="FF000000"/>
        <rFont val="Arial Unicode MS"/>
        <family val="2"/>
      </rPr>
      <t>Build</t>
    </r>
    <r>
      <rPr>
        <sz val="10"/>
        <color rgb="FF000000"/>
        <rFont val="Arial Unicode MS"/>
        <family val="2"/>
      </rPr>
      <t xml:space="preserve"> AABBs collision detection with the method of overlapping intervals. </t>
    </r>
    <r>
      <rPr>
        <b/>
        <sz val="10"/>
        <color rgb="FF000000"/>
        <rFont val="Arial Unicode MS"/>
        <family val="2"/>
      </rPr>
      <t>Understand</t>
    </r>
    <r>
      <rPr>
        <sz val="10"/>
        <color rgb="FF000000"/>
        <rFont val="Arial Unicode MS"/>
        <family val="2"/>
      </rPr>
      <t xml:space="preserve"> how to reduce the number of SAT tests by exploiting the symmetry of a convex polytope.</t>
    </r>
  </si>
  <si>
    <r>
      <rPr>
        <b/>
        <sz val="10"/>
        <color rgb="FF000000"/>
        <rFont val="Arial Unicode MS"/>
        <family val="2"/>
      </rPr>
      <t>Understand</t>
    </r>
    <r>
      <rPr>
        <sz val="10"/>
        <color rgb="FF000000"/>
        <rFont val="Arial Unicode MS"/>
        <family val="2"/>
      </rPr>
      <t xml:space="preserve"> the Projected Gauss-Seidel method. </t>
    </r>
    <r>
      <rPr>
        <b/>
        <sz val="10"/>
        <color rgb="FF000000"/>
        <rFont val="Arial Unicode MS"/>
        <family val="2"/>
      </rPr>
      <t>Build</t>
    </r>
    <r>
      <rPr>
        <sz val="10"/>
        <color rgb="FF000000"/>
        <rFont val="Arial Unicode MS"/>
        <family val="2"/>
      </rPr>
      <t xml:space="preserve"> an impulse-based collision response system for all pairs of objects simultaneously.</t>
    </r>
  </si>
  <si>
    <r>
      <rPr>
        <b/>
        <sz val="10"/>
        <color rgb="FF000000"/>
        <rFont val="Arial Unicode MS"/>
        <family val="2"/>
      </rPr>
      <t>Understand</t>
    </r>
    <r>
      <rPr>
        <sz val="10"/>
        <color rgb="FF000000"/>
        <rFont val="Arial Unicode MS"/>
        <family val="2"/>
      </rPr>
      <t xml:space="preserve"> forces from various domains of physics: gravity, friction, springs, bullets, and cars. </t>
    </r>
    <r>
      <rPr>
        <b/>
        <sz val="10"/>
        <color rgb="FF000000"/>
        <rFont val="Arial Unicode MS"/>
        <family val="2"/>
      </rPr>
      <t>Build</t>
    </r>
    <r>
      <rPr>
        <sz val="10"/>
        <color rgb="FF000000"/>
        <rFont val="Arial Unicode MS"/>
        <family val="2"/>
      </rPr>
      <t xml:space="preserve"> at least one of those into the simulation.</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</si>
</sst>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quot;€&quot;\ * #,##0.00_ ;_ &quot;€&quot;\ * \-#,##0.00_ ;_ &quot;€&quot;\ * &quot;-&quot;??_ ;_ @_ "/>
    <numFmt numFmtId="164" formatCode="[$-F800]dddd\,\ mmmm\ dd\,\ yyyy"/>
    <numFmt numFmtId="165" formatCode="[$-409]d\-mmm\-yy;@"/>
    <numFmt numFmtId="166" formatCode="[$-409]d\-mmm\-yyyy;@"/>
  </numFmts>
  <fonts count="24" x14ac:knownFonts="1">
    <font>
      <sz val="10"/>
      <name val="Arial"/>
    </font>
    <font>
      <b/>
      <sz val="10"/>
      <name val="Arial"/>
      <family val="2"/>
    </font>
    <font>
      <sz val="10"/>
      <name val="Trebuchet MS"/>
      <family val="2"/>
    </font>
    <font>
      <sz val="8"/>
      <name val="Arial"/>
      <family val="2"/>
    </font>
    <font>
      <sz val="10"/>
      <name val="Arial"/>
      <family val="2"/>
    </font>
    <font>
      <u/>
      <sz val="10"/>
      <color indexed="12"/>
      <name val="MS Sans Serif"/>
      <family val="2"/>
    </font>
    <font>
      <sz val="11"/>
      <color rgb="FF006100"/>
      <name val="Calibri"/>
      <family val="2"/>
      <scheme val="minor"/>
    </font>
    <font>
      <sz val="10"/>
      <color theme="1"/>
      <name val="Arial"/>
      <family val="2"/>
    </font>
    <font>
      <sz val="10"/>
      <color theme="0"/>
      <name val="Arial"/>
      <family val="2"/>
    </font>
    <font>
      <sz val="26"/>
      <name val="Arial"/>
      <family val="2"/>
    </font>
    <font>
      <sz val="26"/>
      <name val="Trebuchet MS"/>
      <family val="2"/>
    </font>
    <font>
      <sz val="9"/>
      <name val="Arial"/>
      <family val="2"/>
    </font>
    <font>
      <sz val="11"/>
      <name val="Calibri"/>
      <family val="2"/>
      <scheme val="minor"/>
    </font>
    <font>
      <b/>
      <sz val="10"/>
      <color theme="0"/>
      <name val="Arial"/>
      <family val="2"/>
    </font>
    <font>
      <b/>
      <sz val="10"/>
      <color theme="1"/>
      <name val="Arial"/>
      <family val="2"/>
    </font>
    <font>
      <sz val="14"/>
      <name val="Arial"/>
      <family val="2"/>
    </font>
    <font>
      <b/>
      <sz val="12"/>
      <name val="Arial"/>
      <family val="2"/>
    </font>
    <font>
      <sz val="10"/>
      <name val="Arial"/>
    </font>
    <font>
      <b/>
      <sz val="16"/>
      <name val="Arial"/>
      <family val="2"/>
    </font>
    <font>
      <b/>
      <sz val="10"/>
      <color theme="3" tint="0.39997558519241921"/>
      <name val="Arial"/>
      <family val="2"/>
    </font>
    <font>
      <sz val="10"/>
      <color theme="3" tint="0.39997558519241921"/>
      <name val="Arial"/>
      <family val="2"/>
    </font>
    <font>
      <sz val="10"/>
      <color rgb="FF000000"/>
      <name val="Arial Unicode MS"/>
      <family val="2"/>
    </font>
    <font>
      <u/>
      <sz val="10"/>
      <color rgb="FF000000"/>
      <name val="Arial Unicode MS"/>
      <family val="2"/>
    </font>
    <font>
      <b/>
      <sz val="10"/>
      <color rgb="FF000000"/>
      <name val="Arial Unicode MS"/>
      <family val="2"/>
    </font>
  </fonts>
  <fills count="1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6EFCE"/>
      </patternFill>
    </fill>
    <fill>
      <patternFill patternType="solid">
        <fgColor theme="7" tint="0.79998168889431442"/>
        <bgColor indexed="64"/>
      </patternFill>
    </fill>
    <fill>
      <patternFill patternType="solid">
        <fgColor rgb="FF00B050"/>
        <bgColor indexed="64"/>
      </patternFill>
    </fill>
    <fill>
      <patternFill patternType="solid">
        <fgColor rgb="FFFFFF66"/>
        <bgColor indexed="64"/>
      </patternFill>
    </fill>
    <fill>
      <patternFill patternType="solid">
        <fgColor theme="2" tint="-9.9978637043366805E-2"/>
        <bgColor indexed="64"/>
      </patternFill>
    </fill>
    <fill>
      <patternFill patternType="solid">
        <fgColor rgb="FFFFFF0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0" fontId="5" fillId="0" borderId="0" applyNumberFormat="0" applyFill="0" applyBorder="0" applyAlignment="0" applyProtection="0"/>
    <xf numFmtId="0" fontId="6" fillId="11" borderId="0" applyNumberFormat="0" applyBorder="0" applyAlignment="0" applyProtection="0"/>
    <xf numFmtId="44" fontId="17" fillId="0" borderId="0" applyFont="0" applyFill="0" applyBorder="0" applyAlignment="0" applyProtection="0"/>
  </cellStyleXfs>
  <cellXfs count="169">
    <xf numFmtId="0" fontId="0" fillId="0" borderId="0" xfId="0"/>
    <xf numFmtId="0" fontId="4" fillId="0" borderId="0" xfId="0" applyFont="1"/>
    <xf numFmtId="0" fontId="4" fillId="2" borderId="0" xfId="0" applyFont="1" applyFill="1"/>
    <xf numFmtId="0" fontId="0" fillId="2" borderId="0" xfId="0" applyFill="1"/>
    <xf numFmtId="0" fontId="1" fillId="2" borderId="0" xfId="0" applyFont="1" applyFill="1"/>
    <xf numFmtId="0" fontId="0" fillId="0" borderId="0" xfId="0" applyAlignment="1">
      <alignment horizontal="left" vertical="top" wrapText="1"/>
    </xf>
    <xf numFmtId="0" fontId="1" fillId="4" borderId="1" xfId="0" applyFont="1" applyFill="1" applyBorder="1"/>
    <xf numFmtId="0" fontId="1" fillId="4" borderId="6" xfId="0" applyFont="1" applyFill="1" applyBorder="1"/>
    <xf numFmtId="0" fontId="0" fillId="4" borderId="7" xfId="0" applyFill="1" applyBorder="1"/>
    <xf numFmtId="0" fontId="0" fillId="4" borderId="8" xfId="0" applyFill="1" applyBorder="1"/>
    <xf numFmtId="0" fontId="0" fillId="0" borderId="0" xfId="0" applyAlignment="1">
      <alignment horizontal="center" vertical="center"/>
    </xf>
    <xf numFmtId="0" fontId="0" fillId="2" borderId="0" xfId="0" applyFill="1" applyAlignment="1">
      <alignment horizontal="center" vertical="center"/>
    </xf>
    <xf numFmtId="0" fontId="1" fillId="3" borderId="1" xfId="0" applyFont="1" applyFill="1" applyBorder="1"/>
    <xf numFmtId="0" fontId="4" fillId="0" borderId="0" xfId="0" applyFont="1" applyAlignment="1">
      <alignment vertical="center"/>
    </xf>
    <xf numFmtId="0" fontId="3" fillId="5" borderId="1" xfId="0" applyFont="1" applyFill="1" applyBorder="1" applyAlignment="1">
      <alignment horizontal="left" vertical="top" wrapText="1"/>
    </xf>
    <xf numFmtId="0" fontId="0" fillId="0" borderId="0" xfId="0" applyBorder="1"/>
    <xf numFmtId="0" fontId="0" fillId="0" borderId="0" xfId="0" applyFill="1" applyBorder="1"/>
    <xf numFmtId="0" fontId="1" fillId="0" borderId="0" xfId="0" applyFont="1" applyFill="1" applyBorder="1"/>
    <xf numFmtId="0" fontId="4" fillId="0" borderId="0" xfId="0" applyFont="1" applyFill="1" applyBorder="1"/>
    <xf numFmtId="164" fontId="4" fillId="0" borderId="0" xfId="0" applyNumberFormat="1" applyFont="1" applyFill="1" applyBorder="1" applyAlignment="1">
      <alignment horizontal="left"/>
    </xf>
    <xf numFmtId="0" fontId="4" fillId="5" borderId="3" xfId="0" applyFont="1" applyFill="1" applyBorder="1"/>
    <xf numFmtId="1" fontId="4" fillId="5" borderId="3" xfId="0" applyNumberFormat="1" applyFont="1" applyFill="1" applyBorder="1" applyAlignment="1">
      <alignment horizontal="left"/>
    </xf>
    <xf numFmtId="0" fontId="0" fillId="0" borderId="0" xfId="0" applyFill="1"/>
    <xf numFmtId="0" fontId="4" fillId="0" borderId="0" xfId="0" applyFont="1" applyFill="1"/>
    <xf numFmtId="0" fontId="1" fillId="0" borderId="1" xfId="0" applyFont="1" applyFill="1" applyBorder="1"/>
    <xf numFmtId="0" fontId="1" fillId="6" borderId="1" xfId="0" applyFont="1" applyFill="1" applyBorder="1"/>
    <xf numFmtId="0" fontId="4" fillId="7" borderId="1" xfId="0" applyFont="1" applyFill="1" applyBorder="1"/>
    <xf numFmtId="0" fontId="4" fillId="8" borderId="1" xfId="0" applyFont="1" applyFill="1" applyBorder="1"/>
    <xf numFmtId="0" fontId="4" fillId="9" borderId="1" xfId="0" applyFont="1" applyFill="1" applyBorder="1"/>
    <xf numFmtId="0" fontId="4" fillId="10" borderId="1" xfId="0" applyFont="1" applyFill="1" applyBorder="1"/>
    <xf numFmtId="0" fontId="4" fillId="8" borderId="11" xfId="0" applyFont="1" applyFill="1" applyBorder="1"/>
    <xf numFmtId="0" fontId="4" fillId="9" borderId="11" xfId="0" applyFont="1" applyFill="1" applyBorder="1"/>
    <xf numFmtId="0" fontId="1" fillId="0" borderId="0" xfId="0" applyFont="1" applyFill="1"/>
    <xf numFmtId="0" fontId="0" fillId="0" borderId="0" xfId="0" applyFill="1" applyAlignment="1">
      <alignment horizontal="left" vertical="top" wrapText="1"/>
    </xf>
    <xf numFmtId="0" fontId="0" fillId="0" borderId="0" xfId="0" applyAlignment="1">
      <alignment horizontal="left"/>
    </xf>
    <xf numFmtId="0" fontId="1" fillId="0" borderId="11" xfId="0" applyFont="1" applyFill="1" applyBorder="1"/>
    <xf numFmtId="0" fontId="1" fillId="0" borderId="12" xfId="0" applyFont="1" applyFill="1" applyBorder="1"/>
    <xf numFmtId="0" fontId="1" fillId="12" borderId="1" xfId="0" applyFont="1" applyFill="1" applyBorder="1"/>
    <xf numFmtId="0" fontId="0" fillId="0" borderId="11" xfId="0" applyFill="1" applyBorder="1"/>
    <xf numFmtId="0" fontId="4" fillId="0" borderId="11" xfId="0" applyFont="1" applyFill="1" applyBorder="1"/>
    <xf numFmtId="0" fontId="4" fillId="0" borderId="12" xfId="0" applyFont="1" applyFill="1" applyBorder="1"/>
    <xf numFmtId="0" fontId="0" fillId="0" borderId="11" xfId="0" applyFont="1" applyFill="1" applyBorder="1"/>
    <xf numFmtId="0" fontId="0" fillId="0" borderId="12" xfId="0" applyBorder="1"/>
    <xf numFmtId="9" fontId="0" fillId="0" borderId="11" xfId="0" quotePrefix="1" applyNumberFormat="1" applyFill="1" applyBorder="1" applyAlignment="1">
      <alignment horizontal="left"/>
    </xf>
    <xf numFmtId="9" fontId="0" fillId="0" borderId="11" xfId="0" applyNumberFormat="1" applyFill="1" applyBorder="1" applyAlignment="1">
      <alignment horizontal="left"/>
    </xf>
    <xf numFmtId="9" fontId="0" fillId="0" borderId="11" xfId="0" applyNumberFormat="1" applyBorder="1" applyAlignment="1">
      <alignment horizontal="left"/>
    </xf>
    <xf numFmtId="9" fontId="0" fillId="0" borderId="12" xfId="0" applyNumberFormat="1" applyBorder="1" applyAlignment="1">
      <alignment horizontal="left"/>
    </xf>
    <xf numFmtId="0" fontId="4" fillId="0" borderId="11" xfId="0" applyFont="1" applyBorder="1"/>
    <xf numFmtId="0" fontId="0" fillId="0" borderId="11" xfId="0" applyBorder="1" applyAlignment="1">
      <alignment horizontal="left"/>
    </xf>
    <xf numFmtId="0" fontId="4" fillId="0" borderId="10" xfId="0" applyFont="1" applyBorder="1"/>
    <xf numFmtId="0" fontId="4" fillId="0" borderId="12" xfId="0" applyFont="1" applyBorder="1"/>
    <xf numFmtId="0" fontId="4" fillId="0" borderId="1" xfId="0" applyFont="1" applyBorder="1"/>
    <xf numFmtId="14" fontId="4" fillId="5" borderId="7" xfId="0" applyNumberFormat="1" applyFont="1" applyFill="1" applyBorder="1" applyAlignment="1">
      <alignment horizontal="left"/>
    </xf>
    <xf numFmtId="0" fontId="1" fillId="2" borderId="13" xfId="0" applyFont="1" applyFill="1" applyBorder="1"/>
    <xf numFmtId="14" fontId="4" fillId="2" borderId="9" xfId="0" applyNumberFormat="1" applyFont="1" applyFill="1" applyBorder="1" applyAlignment="1">
      <alignment horizontal="left"/>
    </xf>
    <xf numFmtId="0" fontId="1" fillId="0" borderId="10" xfId="0" applyFont="1" applyBorder="1"/>
    <xf numFmtId="0" fontId="1" fillId="2" borderId="0" xfId="0" applyFont="1" applyFill="1" applyBorder="1"/>
    <xf numFmtId="0" fontId="4" fillId="2" borderId="0" xfId="0" applyFont="1" applyFill="1" applyBorder="1"/>
    <xf numFmtId="1" fontId="4" fillId="2" borderId="0" xfId="0" applyNumberFormat="1" applyFont="1" applyFill="1" applyBorder="1" applyAlignment="1">
      <alignment horizontal="left"/>
    </xf>
    <xf numFmtId="164" fontId="4" fillId="2" borderId="0" xfId="0" applyNumberFormat="1" applyFont="1" applyFill="1" applyBorder="1" applyAlignment="1">
      <alignment horizontal="left"/>
    </xf>
    <xf numFmtId="0" fontId="1" fillId="2" borderId="1" xfId="0" applyFont="1" applyFill="1" applyBorder="1"/>
    <xf numFmtId="0" fontId="0" fillId="0" borderId="10" xfId="0" applyFont="1" applyFill="1" applyBorder="1"/>
    <xf numFmtId="0" fontId="1" fillId="12" borderId="12" xfId="0" applyFont="1" applyFill="1" applyBorder="1"/>
    <xf numFmtId="0" fontId="4" fillId="0" borderId="10" xfId="0" applyFont="1" applyFill="1" applyBorder="1" applyAlignment="1">
      <alignment horizontal="left"/>
    </xf>
    <xf numFmtId="0" fontId="0" fillId="0" borderId="10" xfId="0" applyBorder="1" applyAlignment="1">
      <alignment horizontal="left"/>
    </xf>
    <xf numFmtId="0" fontId="1" fillId="12" borderId="10" xfId="0" applyFont="1" applyFill="1" applyBorder="1"/>
    <xf numFmtId="0" fontId="12" fillId="0" borderId="11" xfId="2" applyFont="1" applyFill="1" applyBorder="1"/>
    <xf numFmtId="0" fontId="9" fillId="5" borderId="1" xfId="0" applyFont="1" applyFill="1" applyBorder="1" applyAlignment="1">
      <alignment horizontal="center" vertical="center"/>
    </xf>
    <xf numFmtId="0" fontId="8" fillId="0" borderId="0" xfId="0" applyFont="1" applyFill="1" applyBorder="1"/>
    <xf numFmtId="1" fontId="4" fillId="0" borderId="0" xfId="0" applyNumberFormat="1" applyFont="1" applyFill="1" applyBorder="1" applyAlignment="1">
      <alignment horizontal="left"/>
    </xf>
    <xf numFmtId="1" fontId="4" fillId="0" borderId="0" xfId="0" applyNumberFormat="1" applyFont="1" applyFill="1" applyBorder="1"/>
    <xf numFmtId="0" fontId="1" fillId="0" borderId="2" xfId="0" applyFont="1" applyFill="1" applyBorder="1"/>
    <xf numFmtId="0" fontId="0" fillId="0" borderId="1" xfId="0" applyBorder="1"/>
    <xf numFmtId="0" fontId="0" fillId="4" borderId="1" xfId="0" applyFill="1" applyBorder="1"/>
    <xf numFmtId="0" fontId="4" fillId="0" borderId="1" xfId="0" applyFont="1" applyBorder="1" applyAlignment="1">
      <alignment horizontal="left" vertical="center" indent="2"/>
    </xf>
    <xf numFmtId="0" fontId="4" fillId="0" borderId="1" xfId="0" applyFont="1" applyBorder="1" applyAlignment="1">
      <alignment horizontal="left" vertical="top"/>
    </xf>
    <xf numFmtId="0" fontId="4" fillId="0" borderId="1" xfId="0" applyFont="1" applyBorder="1" applyAlignment="1">
      <alignment horizontal="left" vertical="center" wrapText="1" indent="2"/>
    </xf>
    <xf numFmtId="0" fontId="13" fillId="13" borderId="6" xfId="0" applyFont="1" applyFill="1" applyBorder="1"/>
    <xf numFmtId="0" fontId="1" fillId="13" borderId="7" xfId="0" applyFont="1" applyFill="1" applyBorder="1"/>
    <xf numFmtId="0" fontId="1" fillId="13" borderId="8" xfId="0" applyFont="1" applyFill="1" applyBorder="1"/>
    <xf numFmtId="0" fontId="15" fillId="0" borderId="1" xfId="0" applyFont="1" applyBorder="1" applyAlignment="1">
      <alignment horizontal="center" vertical="center"/>
    </xf>
    <xf numFmtId="0" fontId="7" fillId="0" borderId="0" xfId="0" applyFont="1" applyFill="1" applyBorder="1"/>
    <xf numFmtId="0" fontId="1" fillId="0" borderId="14" xfId="0" applyFont="1" applyFill="1" applyBorder="1"/>
    <xf numFmtId="14" fontId="4" fillId="0" borderId="14" xfId="0" applyNumberFormat="1" applyFont="1" applyFill="1" applyBorder="1" applyAlignment="1">
      <alignment horizontal="left"/>
    </xf>
    <xf numFmtId="0" fontId="4" fillId="14" borderId="3" xfId="0" applyFont="1" applyFill="1" applyBorder="1"/>
    <xf numFmtId="0" fontId="0" fillId="14" borderId="3" xfId="0" applyFill="1" applyBorder="1"/>
    <xf numFmtId="0" fontId="0" fillId="14" borderId="5" xfId="0" applyFill="1" applyBorder="1"/>
    <xf numFmtId="0" fontId="3" fillId="14" borderId="1" xfId="0" applyFont="1" applyFill="1" applyBorder="1" applyAlignment="1">
      <alignment horizontal="left" vertical="top" wrapText="1"/>
    </xf>
    <xf numFmtId="14" fontId="4" fillId="14" borderId="7" xfId="0" applyNumberFormat="1" applyFont="1" applyFill="1" applyBorder="1" applyAlignment="1">
      <alignment horizontal="left"/>
    </xf>
    <xf numFmtId="165" fontId="4" fillId="0" borderId="0" xfId="0" applyNumberFormat="1" applyFont="1" applyFill="1" applyAlignment="1">
      <alignment horizontal="left"/>
    </xf>
    <xf numFmtId="165" fontId="0" fillId="2" borderId="0" xfId="0" applyNumberFormat="1" applyFill="1" applyAlignment="1">
      <alignment horizontal="left"/>
    </xf>
    <xf numFmtId="165" fontId="4" fillId="0" borderId="0" xfId="0" applyNumberFormat="1" applyFont="1" applyFill="1" applyBorder="1" applyAlignment="1">
      <alignment horizontal="left"/>
    </xf>
    <xf numFmtId="165" fontId="4" fillId="2" borderId="0" xfId="0" applyNumberFormat="1" applyFont="1" applyFill="1" applyBorder="1" applyAlignment="1">
      <alignment horizontal="left" wrapText="1"/>
    </xf>
    <xf numFmtId="0" fontId="4" fillId="0" borderId="1" xfId="0" applyFont="1" applyFill="1" applyBorder="1" applyAlignment="1">
      <alignment horizontal="right"/>
    </xf>
    <xf numFmtId="0" fontId="4" fillId="0" borderId="1" xfId="1" applyFont="1" applyFill="1" applyBorder="1" applyAlignment="1">
      <alignment horizontal="right"/>
    </xf>
    <xf numFmtId="0" fontId="0" fillId="0" borderId="1" xfId="0" applyBorder="1" applyAlignment="1">
      <alignment horizontal="right"/>
    </xf>
    <xf numFmtId="0" fontId="4" fillId="0" borderId="1" xfId="0" applyFont="1" applyFill="1" applyBorder="1"/>
    <xf numFmtId="1" fontId="4" fillId="0" borderId="3" xfId="0" applyNumberFormat="1" applyFont="1" applyFill="1" applyBorder="1" applyAlignment="1">
      <alignment horizontal="left"/>
    </xf>
    <xf numFmtId="0" fontId="0" fillId="0" borderId="0" xfId="0" applyFill="1" applyAlignment="1">
      <alignment horizontal="left" vertical="top" wrapText="1"/>
    </xf>
    <xf numFmtId="0" fontId="4" fillId="0" borderId="0" xfId="0" applyNumberFormat="1" applyFont="1" applyFill="1" applyBorder="1" applyAlignment="1">
      <alignment horizontal="left"/>
    </xf>
    <xf numFmtId="166" fontId="4" fillId="14" borderId="5" xfId="0" applyNumberFormat="1" applyFont="1" applyFill="1" applyBorder="1" applyAlignment="1">
      <alignment horizontal="left"/>
    </xf>
    <xf numFmtId="0" fontId="11" fillId="2" borderId="11" xfId="0" applyFont="1" applyFill="1" applyBorder="1" applyAlignment="1">
      <alignment wrapText="1"/>
    </xf>
    <xf numFmtId="0" fontId="11" fillId="2" borderId="12" xfId="0" applyFont="1" applyFill="1" applyBorder="1" applyAlignment="1">
      <alignment wrapText="1"/>
    </xf>
    <xf numFmtId="0" fontId="11" fillId="0" borderId="0" xfId="0" applyFont="1" applyFill="1" applyBorder="1" applyAlignment="1">
      <alignment wrapText="1"/>
    </xf>
    <xf numFmtId="0" fontId="16" fillId="2" borderId="10" xfId="0" applyFont="1" applyFill="1" applyBorder="1" applyAlignment="1">
      <alignment wrapText="1"/>
    </xf>
    <xf numFmtId="0" fontId="16" fillId="2" borderId="11" xfId="0" applyFont="1" applyFill="1" applyBorder="1" applyAlignment="1">
      <alignment wrapText="1"/>
    </xf>
    <xf numFmtId="0" fontId="0" fillId="12" borderId="21" xfId="0" applyFill="1" applyBorder="1"/>
    <xf numFmtId="0" fontId="1" fillId="4" borderId="22" xfId="0" applyFont="1" applyFill="1" applyBorder="1"/>
    <xf numFmtId="0" fontId="0" fillId="4" borderId="21" xfId="0" applyFill="1" applyBorder="1"/>
    <xf numFmtId="0" fontId="1" fillId="12" borderId="22" xfId="0" applyFont="1" applyFill="1" applyBorder="1"/>
    <xf numFmtId="0" fontId="13" fillId="13" borderId="22" xfId="0" applyFont="1" applyFill="1" applyBorder="1"/>
    <xf numFmtId="0" fontId="14" fillId="13" borderId="21" xfId="0" applyFont="1" applyFill="1" applyBorder="1"/>
    <xf numFmtId="0" fontId="9" fillId="5" borderId="12" xfId="0" applyFont="1" applyFill="1" applyBorder="1" applyAlignment="1">
      <alignment horizontal="center" vertical="center" wrapText="1"/>
    </xf>
    <xf numFmtId="0" fontId="9" fillId="5" borderId="5" xfId="0" applyFont="1" applyFill="1" applyBorder="1" applyAlignment="1">
      <alignment horizontal="center" vertical="center" wrapText="1"/>
    </xf>
    <xf numFmtId="0" fontId="10" fillId="5" borderId="7" xfId="0" applyFont="1" applyFill="1" applyBorder="1" applyAlignment="1">
      <alignment horizontal="center" vertical="center" wrapText="1"/>
    </xf>
    <xf numFmtId="0" fontId="2" fillId="2" borderId="27" xfId="0" applyFont="1" applyFill="1" applyBorder="1" applyAlignment="1">
      <alignment horizontal="left" vertical="top" wrapText="1"/>
    </xf>
    <xf numFmtId="0" fontId="2" fillId="2" borderId="28" xfId="0" applyFont="1" applyFill="1" applyBorder="1" applyAlignment="1">
      <alignment horizontal="left" vertical="top" wrapText="1"/>
    </xf>
    <xf numFmtId="0" fontId="2" fillId="2" borderId="18" xfId="0" applyFont="1" applyFill="1" applyBorder="1" applyAlignment="1">
      <alignment horizontal="left" vertical="top" wrapText="1"/>
    </xf>
    <xf numFmtId="0" fontId="3" fillId="5" borderId="12" xfId="0" applyFont="1" applyFill="1" applyBorder="1" applyAlignment="1">
      <alignment horizontal="left" vertical="top" wrapText="1"/>
    </xf>
    <xf numFmtId="0" fontId="1" fillId="0" borderId="3" xfId="0" applyFont="1" applyFill="1" applyBorder="1"/>
    <xf numFmtId="164" fontId="4" fillId="5" borderId="11" xfId="0" applyNumberFormat="1" applyFont="1" applyFill="1" applyBorder="1" applyAlignment="1">
      <alignment horizontal="left"/>
    </xf>
    <xf numFmtId="0" fontId="0" fillId="14" borderId="3" xfId="0" applyNumberFormat="1" applyFill="1" applyBorder="1"/>
    <xf numFmtId="164" fontId="4" fillId="4" borderId="29" xfId="0" applyNumberFormat="1" applyFont="1" applyFill="1" applyBorder="1" applyAlignment="1">
      <alignment horizontal="left"/>
    </xf>
    <xf numFmtId="0" fontId="1" fillId="4" borderId="20" xfId="0" applyFont="1" applyFill="1" applyBorder="1"/>
    <xf numFmtId="0" fontId="0" fillId="4" borderId="30" xfId="0" applyFill="1" applyBorder="1"/>
    <xf numFmtId="0" fontId="14" fillId="13" borderId="29" xfId="0" applyFont="1" applyFill="1" applyBorder="1"/>
    <xf numFmtId="0" fontId="1" fillId="13" borderId="30" xfId="0" applyFont="1" applyFill="1" applyBorder="1"/>
    <xf numFmtId="0" fontId="0" fillId="13" borderId="30" xfId="0" applyFill="1" applyBorder="1"/>
    <xf numFmtId="0" fontId="0" fillId="13" borderId="21" xfId="0" applyFill="1" applyBorder="1"/>
    <xf numFmtId="0" fontId="14" fillId="13" borderId="30" xfId="0" applyFont="1" applyFill="1" applyBorder="1"/>
    <xf numFmtId="0" fontId="0" fillId="15" borderId="30" xfId="0" applyFill="1" applyBorder="1"/>
    <xf numFmtId="0" fontId="0" fillId="15" borderId="21" xfId="0" applyFill="1" applyBorder="1"/>
    <xf numFmtId="0" fontId="1" fillId="4" borderId="30" xfId="0" applyFont="1" applyFill="1" applyBorder="1" applyAlignment="1">
      <alignment horizontal="left" vertical="top"/>
    </xf>
    <xf numFmtId="0" fontId="1" fillId="4" borderId="19" xfId="0" applyFont="1" applyFill="1" applyBorder="1" applyAlignment="1">
      <alignment horizontal="left" vertical="top"/>
    </xf>
    <xf numFmtId="0" fontId="1" fillId="15" borderId="31" xfId="0" applyFont="1" applyFill="1" applyBorder="1" applyAlignment="1">
      <alignment vertical="top" wrapText="1"/>
    </xf>
    <xf numFmtId="0" fontId="1" fillId="15" borderId="32" xfId="0" applyFont="1" applyFill="1" applyBorder="1" applyAlignment="1">
      <alignment horizontal="left" vertical="top" wrapText="1"/>
    </xf>
    <xf numFmtId="0" fontId="18" fillId="5" borderId="1" xfId="0" applyFont="1" applyFill="1" applyBorder="1" applyAlignment="1">
      <alignment horizontal="center" vertical="center" wrapText="1"/>
    </xf>
    <xf numFmtId="0" fontId="0" fillId="2" borderId="35" xfId="0" applyFill="1" applyBorder="1"/>
    <xf numFmtId="0" fontId="0" fillId="2" borderId="0" xfId="0" applyFill="1" applyBorder="1"/>
    <xf numFmtId="0" fontId="0" fillId="2" borderId="36" xfId="0" applyFill="1" applyBorder="1"/>
    <xf numFmtId="0" fontId="0" fillId="2" borderId="37" xfId="0" applyFill="1" applyBorder="1"/>
    <xf numFmtId="0" fontId="0" fillId="2" borderId="38" xfId="0" applyFill="1" applyBorder="1"/>
    <xf numFmtId="0" fontId="0" fillId="2" borderId="39" xfId="0" applyFill="1" applyBorder="1"/>
    <xf numFmtId="0" fontId="19" fillId="4" borderId="33" xfId="0" applyFont="1" applyFill="1" applyBorder="1"/>
    <xf numFmtId="49" fontId="20" fillId="4" borderId="34" xfId="3" applyNumberFormat="1" applyFont="1" applyFill="1" applyBorder="1"/>
    <xf numFmtId="0" fontId="19" fillId="4" borderId="35" xfId="0" applyFont="1" applyFill="1" applyBorder="1" applyAlignment="1">
      <alignment horizontal="left" indent="1"/>
    </xf>
    <xf numFmtId="0" fontId="20" fillId="4" borderId="36" xfId="0" applyFont="1" applyFill="1" applyBorder="1"/>
    <xf numFmtId="0" fontId="19" fillId="4" borderId="37" xfId="0" applyFont="1" applyFill="1" applyBorder="1" applyAlignment="1">
      <alignment horizontal="left" indent="1"/>
    </xf>
    <xf numFmtId="0" fontId="20" fillId="4" borderId="39" xfId="0" applyFont="1" applyFill="1" applyBorder="1"/>
    <xf numFmtId="0" fontId="11" fillId="5" borderId="2" xfId="0" applyFont="1" applyFill="1" applyBorder="1" applyAlignment="1">
      <alignment horizontal="left" vertical="top"/>
    </xf>
    <xf numFmtId="0" fontId="11" fillId="5" borderId="3" xfId="0" applyFont="1" applyFill="1" applyBorder="1" applyAlignment="1">
      <alignment horizontal="left" vertical="top"/>
    </xf>
    <xf numFmtId="0" fontId="11" fillId="5" borderId="4" xfId="0" applyFont="1" applyFill="1" applyBorder="1" applyAlignment="1">
      <alignment horizontal="left" vertical="top"/>
    </xf>
    <xf numFmtId="0" fontId="11" fillId="5" borderId="5" xfId="0" applyFont="1" applyFill="1" applyBorder="1" applyAlignment="1">
      <alignment horizontal="left" vertical="top"/>
    </xf>
    <xf numFmtId="0" fontId="14" fillId="0" borderId="23" xfId="0" applyFont="1" applyFill="1" applyBorder="1" applyAlignment="1">
      <alignment horizontal="center" vertical="center"/>
    </xf>
    <xf numFmtId="0" fontId="7" fillId="0" borderId="24" xfId="0" applyFont="1" applyFill="1" applyBorder="1" applyAlignment="1">
      <alignment horizontal="center"/>
    </xf>
    <xf numFmtId="14" fontId="14" fillId="0" borderId="15" xfId="0" applyNumberFormat="1" applyFont="1" applyFill="1" applyBorder="1" applyAlignment="1">
      <alignment horizontal="center" vertical="center"/>
    </xf>
    <xf numFmtId="0" fontId="7" fillId="0" borderId="16" xfId="0" applyFont="1" applyFill="1" applyBorder="1" applyAlignment="1">
      <alignment horizontal="center"/>
    </xf>
    <xf numFmtId="0" fontId="14" fillId="4" borderId="17" xfId="0" applyFont="1" applyFill="1" applyBorder="1" applyAlignment="1">
      <alignment horizontal="center" vertical="center"/>
    </xf>
    <xf numFmtId="0" fontId="7" fillId="4" borderId="18" xfId="0" applyFont="1" applyFill="1" applyBorder="1" applyAlignment="1">
      <alignment horizontal="center"/>
    </xf>
    <xf numFmtId="0" fontId="14" fillId="0" borderId="25" xfId="0" applyFont="1" applyFill="1" applyBorder="1" applyAlignment="1">
      <alignment horizontal="center" vertical="center"/>
    </xf>
    <xf numFmtId="0" fontId="7" fillId="0" borderId="26" xfId="0" applyFont="1" applyFill="1" applyBorder="1" applyAlignment="1">
      <alignment horizontal="center"/>
    </xf>
    <xf numFmtId="0" fontId="14" fillId="0" borderId="24" xfId="0" applyFont="1" applyFill="1" applyBorder="1" applyAlignment="1">
      <alignment horizontal="center" vertical="center"/>
    </xf>
    <xf numFmtId="0" fontId="4" fillId="14" borderId="3" xfId="0" applyFont="1" applyFill="1" applyBorder="1" applyAlignment="1">
      <alignment horizontal="left" vertical="top" wrapText="1"/>
    </xf>
    <xf numFmtId="0" fontId="4" fillId="14" borderId="5" xfId="0" applyFont="1" applyFill="1" applyBorder="1" applyAlignment="1">
      <alignment horizontal="left" vertical="top" wrapText="1"/>
    </xf>
    <xf numFmtId="0" fontId="4" fillId="14" borderId="10" xfId="0" applyFont="1" applyFill="1" applyBorder="1" applyAlignment="1">
      <alignment horizontal="left" vertical="top" wrapText="1"/>
    </xf>
    <xf numFmtId="0" fontId="4" fillId="14" borderId="11" xfId="0" applyFont="1" applyFill="1" applyBorder="1" applyAlignment="1">
      <alignment horizontal="left" vertical="top" wrapText="1"/>
    </xf>
    <xf numFmtId="0" fontId="4" fillId="14" borderId="12" xfId="0" applyFont="1" applyFill="1" applyBorder="1" applyAlignment="1">
      <alignment horizontal="left" vertical="top" wrapText="1"/>
    </xf>
    <xf numFmtId="0" fontId="4" fillId="14" borderId="9" xfId="0" applyFont="1" applyFill="1" applyBorder="1" applyAlignment="1">
      <alignment horizontal="left" vertical="top" wrapText="1"/>
    </xf>
    <xf numFmtId="0" fontId="21" fillId="16" borderId="0" xfId="0" applyFont="1" applyFill="1"/>
  </cellXfs>
  <cellStyles count="4">
    <cellStyle name="Currency" xfId="3" builtinId="4"/>
    <cellStyle name="Good" xfId="2" builtinId="26"/>
    <cellStyle name="Hyperlink" xfId="1" builtinId="8"/>
    <cellStyle name="Normal" xfId="0" builtinId="0"/>
  </cellStyles>
  <dxfs count="3">
    <dxf>
      <font>
        <b/>
        <i val="0"/>
        <color theme="0"/>
      </font>
      <fill>
        <patternFill>
          <bgColor rgb="FFFF0000"/>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FFFF99"/>
      <color rgb="FFCCFFFF"/>
      <color rgb="FFFFFF66"/>
      <color rgb="FF66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2644141</xdr:colOff>
      <xdr:row>16</xdr:row>
      <xdr:rowOff>7621</xdr:rowOff>
    </xdr:from>
    <xdr:to>
      <xdr:col>2</xdr:col>
      <xdr:colOff>2748916</xdr:colOff>
      <xdr:row>16</xdr:row>
      <xdr:rowOff>160021</xdr:rowOff>
    </xdr:to>
    <xdr:pic macro="[0]!help_01">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98081" y="2019301"/>
          <a:ext cx="152400" cy="152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3573780</xdr:colOff>
      <xdr:row>8</xdr:row>
      <xdr:rowOff>7620</xdr:rowOff>
    </xdr:from>
    <xdr:to>
      <xdr:col>1</xdr:col>
      <xdr:colOff>3726180</xdr:colOff>
      <xdr:row>8</xdr:row>
      <xdr:rowOff>160020</xdr:rowOff>
    </xdr:to>
    <xdr:pic macro="[0]!help_02">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47160" y="1348740"/>
          <a:ext cx="152400" cy="152400"/>
        </a:xfrm>
        <a:prstGeom prst="rect">
          <a:avLst/>
        </a:prstGeom>
      </xdr:spPr>
    </xdr:pic>
    <xdr:clientData/>
  </xdr:twoCellAnchor>
  <xdr:twoCellAnchor>
    <xdr:from>
      <xdr:col>2</xdr:col>
      <xdr:colOff>4023360</xdr:colOff>
      <xdr:row>8</xdr:row>
      <xdr:rowOff>7620</xdr:rowOff>
    </xdr:from>
    <xdr:to>
      <xdr:col>2</xdr:col>
      <xdr:colOff>4175760</xdr:colOff>
      <xdr:row>8</xdr:row>
      <xdr:rowOff>160020</xdr:rowOff>
    </xdr:to>
    <xdr:pic macro="[0]!help_03">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145780" y="1348740"/>
          <a:ext cx="152400" cy="15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1463040</xdr:colOff>
      <xdr:row>8</xdr:row>
      <xdr:rowOff>22860</xdr:rowOff>
    </xdr:from>
    <xdr:to>
      <xdr:col>2</xdr:col>
      <xdr:colOff>1615453</xdr:colOff>
      <xdr:row>8</xdr:row>
      <xdr:rowOff>175273</xdr:rowOff>
    </xdr:to>
    <xdr:pic macro="[0]!help_4">
      <xdr:nvPicPr>
        <xdr:cNvPr id="6" name="Picture 5"/>
        <xdr:cNvPicPr>
          <a:picLocks noChangeAspect="1"/>
        </xdr:cNvPicPr>
      </xdr:nvPicPr>
      <xdr:blipFill>
        <a:blip xmlns:r="http://schemas.openxmlformats.org/officeDocument/2006/relationships" r:embed="rId1"/>
        <a:stretch>
          <a:fillRect/>
        </a:stretch>
      </xdr:blipFill>
      <xdr:spPr>
        <a:xfrm>
          <a:off x="4922520" y="1501140"/>
          <a:ext cx="152413" cy="15241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5"/>
  <sheetViews>
    <sheetView topLeftCell="A13" workbookViewId="0">
      <selection activeCell="B32" sqref="B32"/>
    </sheetView>
  </sheetViews>
  <sheetFormatPr defaultRowHeight="13.2" x14ac:dyDescent="0.25"/>
  <cols>
    <col min="1" max="1" width="4.88671875" customWidth="1"/>
    <col min="2" max="2" width="65.88671875" customWidth="1"/>
    <col min="3" max="3" width="41.33203125" customWidth="1"/>
    <col min="4" max="4" width="24.44140625" customWidth="1"/>
    <col min="5" max="5" width="26.33203125" customWidth="1"/>
    <col min="7" max="7" width="11" customWidth="1"/>
    <col min="8" max="8" width="17.44140625" customWidth="1"/>
  </cols>
  <sheetData>
    <row r="1" spans="1:5" ht="13.8" thickBot="1" x14ac:dyDescent="0.3"/>
    <row r="2" spans="1:5" ht="13.8" thickBot="1" x14ac:dyDescent="0.3">
      <c r="B2" s="110" t="s">
        <v>212</v>
      </c>
      <c r="C2" s="111"/>
      <c r="D2" s="16"/>
    </row>
    <row r="3" spans="1:5" x14ac:dyDescent="0.25">
      <c r="B3" s="143" t="s">
        <v>250</v>
      </c>
      <c r="C3" s="144"/>
      <c r="D3" s="16"/>
    </row>
    <row r="4" spans="1:5" x14ac:dyDescent="0.25">
      <c r="B4" s="145" t="s">
        <v>251</v>
      </c>
      <c r="C4" s="146"/>
      <c r="D4" s="16"/>
    </row>
    <row r="5" spans="1:5" x14ac:dyDescent="0.25">
      <c r="B5" s="145" t="s">
        <v>252</v>
      </c>
      <c r="C5" s="146"/>
      <c r="D5" s="16"/>
    </row>
    <row r="6" spans="1:5" ht="13.8" thickBot="1" x14ac:dyDescent="0.3">
      <c r="B6" s="147" t="s">
        <v>253</v>
      </c>
      <c r="C6" s="148"/>
      <c r="D6" s="16"/>
    </row>
    <row r="7" spans="1:5" ht="13.8" thickBot="1" x14ac:dyDescent="0.3">
      <c r="A7" s="16"/>
      <c r="C7" s="16"/>
      <c r="D7" s="16"/>
      <c r="E7" s="15"/>
    </row>
    <row r="8" spans="1:5" ht="13.8" thickBot="1" x14ac:dyDescent="0.3">
      <c r="A8" s="16"/>
      <c r="B8" s="107" t="s">
        <v>9</v>
      </c>
      <c r="C8" s="108"/>
      <c r="D8" s="16"/>
      <c r="E8" s="15"/>
    </row>
    <row r="9" spans="1:5" x14ac:dyDescent="0.25">
      <c r="A9" s="16"/>
      <c r="B9" s="35" t="s">
        <v>6</v>
      </c>
      <c r="C9" s="119" t="s">
        <v>2</v>
      </c>
      <c r="D9" s="16"/>
      <c r="E9" s="15"/>
    </row>
    <row r="10" spans="1:5" x14ac:dyDescent="0.25">
      <c r="A10" s="16"/>
      <c r="B10" s="35" t="s">
        <v>203</v>
      </c>
      <c r="C10" s="20" t="s">
        <v>116</v>
      </c>
      <c r="D10" s="17"/>
      <c r="E10" s="15"/>
    </row>
    <row r="11" spans="1:5" x14ac:dyDescent="0.25">
      <c r="A11" s="16"/>
      <c r="B11" s="35" t="s">
        <v>16</v>
      </c>
      <c r="C11" s="21" t="s">
        <v>18</v>
      </c>
      <c r="D11" s="17"/>
      <c r="E11" s="15"/>
    </row>
    <row r="12" spans="1:5" x14ac:dyDescent="0.25">
      <c r="A12" s="16"/>
      <c r="B12" s="35" t="s">
        <v>10</v>
      </c>
      <c r="C12" s="97">
        <v>4</v>
      </c>
      <c r="D12" s="17"/>
      <c r="E12" s="15"/>
    </row>
    <row r="13" spans="1:5" x14ac:dyDescent="0.25">
      <c r="A13" s="16"/>
      <c r="B13" s="35" t="s">
        <v>0</v>
      </c>
      <c r="C13" s="84" t="s">
        <v>254</v>
      </c>
      <c r="D13" s="17"/>
      <c r="E13" s="15"/>
    </row>
    <row r="14" spans="1:5" x14ac:dyDescent="0.25">
      <c r="A14" s="16"/>
      <c r="B14" s="36" t="s">
        <v>7</v>
      </c>
      <c r="C14" s="100">
        <v>41514</v>
      </c>
      <c r="D14" s="16"/>
      <c r="E14" s="15"/>
    </row>
    <row r="15" spans="1:5" x14ac:dyDescent="0.25">
      <c r="A15" s="16"/>
      <c r="B15" s="17"/>
      <c r="C15" s="99"/>
      <c r="D15" s="16"/>
      <c r="E15" s="15"/>
    </row>
    <row r="16" spans="1:5" ht="13.8" thickBot="1" x14ac:dyDescent="0.3">
      <c r="A16" s="16"/>
      <c r="B16" s="17"/>
      <c r="C16" s="99"/>
      <c r="D16" s="16"/>
      <c r="E16" s="15"/>
    </row>
    <row r="17" spans="1:7" ht="13.8" thickBot="1" x14ac:dyDescent="0.3">
      <c r="A17" s="16"/>
      <c r="B17" s="107" t="s">
        <v>202</v>
      </c>
      <c r="C17" s="122"/>
      <c r="D17" s="123" t="s">
        <v>221</v>
      </c>
      <c r="E17" s="15"/>
    </row>
    <row r="18" spans="1:7" x14ac:dyDescent="0.25">
      <c r="A18" s="16"/>
      <c r="B18" s="71" t="s">
        <v>196</v>
      </c>
      <c r="C18" s="120" t="s">
        <v>187</v>
      </c>
      <c r="D18" s="121">
        <v>20</v>
      </c>
      <c r="E18" s="15"/>
    </row>
    <row r="19" spans="1:7" x14ac:dyDescent="0.25">
      <c r="A19" s="16"/>
      <c r="B19" s="71" t="s">
        <v>197</v>
      </c>
      <c r="C19" s="120" t="s">
        <v>187</v>
      </c>
      <c r="D19" s="85">
        <v>20</v>
      </c>
      <c r="E19" s="15"/>
    </row>
    <row r="20" spans="1:7" x14ac:dyDescent="0.25">
      <c r="A20" s="16"/>
      <c r="B20" s="71" t="s">
        <v>198</v>
      </c>
      <c r="C20" s="120" t="s">
        <v>187</v>
      </c>
      <c r="D20" s="85">
        <v>20</v>
      </c>
      <c r="E20" s="15"/>
    </row>
    <row r="21" spans="1:7" x14ac:dyDescent="0.25">
      <c r="A21" s="16"/>
      <c r="B21" s="71" t="s">
        <v>199</v>
      </c>
      <c r="C21" s="120" t="s">
        <v>187</v>
      </c>
      <c r="D21" s="85">
        <v>20</v>
      </c>
      <c r="E21" s="15"/>
    </row>
    <row r="22" spans="1:7" x14ac:dyDescent="0.25">
      <c r="A22" s="16"/>
      <c r="B22" s="71" t="s">
        <v>200</v>
      </c>
      <c r="C22" s="120" t="s">
        <v>187</v>
      </c>
      <c r="D22" s="85">
        <v>20</v>
      </c>
      <c r="E22" s="15"/>
    </row>
    <row r="23" spans="1:7" x14ac:dyDescent="0.25">
      <c r="A23" s="16"/>
      <c r="B23" s="71" t="s">
        <v>201</v>
      </c>
      <c r="C23" s="120"/>
      <c r="D23" s="86">
        <v>0</v>
      </c>
      <c r="E23" s="15"/>
    </row>
    <row r="24" spans="1:7" x14ac:dyDescent="0.25">
      <c r="A24" s="16"/>
      <c r="B24" s="82"/>
      <c r="C24" s="83"/>
      <c r="D24" s="73">
        <f>SUM(D18:D23)</f>
        <v>100</v>
      </c>
      <c r="E24" s="15"/>
    </row>
    <row r="25" spans="1:7" x14ac:dyDescent="0.25">
      <c r="A25" s="16"/>
      <c r="B25" s="17"/>
      <c r="C25" s="19"/>
      <c r="D25" s="16"/>
      <c r="E25" s="81" t="str">
        <f>IF(D24&gt;100,"Value cannot exceed 100%","")</f>
        <v/>
      </c>
      <c r="F25" s="68"/>
      <c r="G25" s="68"/>
    </row>
    <row r="26" spans="1:7" x14ac:dyDescent="0.25">
      <c r="A26" s="16"/>
      <c r="B26" s="24" t="s">
        <v>11</v>
      </c>
      <c r="C26" s="52" t="s">
        <v>56</v>
      </c>
      <c r="D26" s="16"/>
      <c r="E26" s="15"/>
    </row>
    <row r="27" spans="1:7" x14ac:dyDescent="0.25">
      <c r="A27" s="16"/>
      <c r="B27" s="53" t="s">
        <v>223</v>
      </c>
      <c r="C27" s="54"/>
      <c r="D27" s="16"/>
      <c r="E27" s="15"/>
    </row>
    <row r="28" spans="1:7" x14ac:dyDescent="0.25">
      <c r="A28" s="16"/>
      <c r="B28" s="149" t="s">
        <v>255</v>
      </c>
      <c r="C28" s="150"/>
      <c r="D28" s="16"/>
      <c r="E28" s="15"/>
    </row>
    <row r="29" spans="1:7" x14ac:dyDescent="0.25">
      <c r="A29" s="16"/>
      <c r="B29" s="149"/>
      <c r="C29" s="150"/>
      <c r="D29" s="16"/>
      <c r="E29" s="15"/>
    </row>
    <row r="30" spans="1:7" x14ac:dyDescent="0.25">
      <c r="A30" s="16"/>
      <c r="B30" s="149"/>
      <c r="C30" s="150"/>
      <c r="D30" s="16"/>
      <c r="E30" s="15"/>
    </row>
    <row r="31" spans="1:7" x14ac:dyDescent="0.25">
      <c r="A31" s="16"/>
      <c r="B31" s="151"/>
      <c r="C31" s="152"/>
      <c r="D31" s="16"/>
      <c r="E31" s="15"/>
    </row>
    <row r="32" spans="1:7" x14ac:dyDescent="0.25">
      <c r="A32" s="16"/>
      <c r="B32" s="24" t="s">
        <v>209</v>
      </c>
      <c r="C32" s="52" t="s">
        <v>15</v>
      </c>
      <c r="D32" s="16"/>
      <c r="E32" s="15"/>
    </row>
    <row r="33" spans="1:5" x14ac:dyDescent="0.25">
      <c r="A33" s="16"/>
      <c r="D33" s="16"/>
      <c r="E33" s="15"/>
    </row>
    <row r="34" spans="1:5" x14ac:dyDescent="0.25">
      <c r="A34" s="16"/>
      <c r="B34" s="16"/>
      <c r="C34" s="16"/>
      <c r="D34" s="16"/>
      <c r="E34" s="15"/>
    </row>
    <row r="35" spans="1:5" x14ac:dyDescent="0.25">
      <c r="A35" s="16"/>
      <c r="D35" s="16"/>
      <c r="E35" s="15"/>
    </row>
    <row r="36" spans="1:5" x14ac:dyDescent="0.25">
      <c r="A36" s="16"/>
      <c r="D36" s="16"/>
      <c r="E36" s="15"/>
    </row>
    <row r="37" spans="1:5" x14ac:dyDescent="0.25">
      <c r="A37" s="16"/>
      <c r="B37" s="15"/>
      <c r="C37" s="15"/>
      <c r="D37" s="16"/>
      <c r="E37" s="15"/>
    </row>
    <row r="38" spans="1:5" x14ac:dyDescent="0.25">
      <c r="A38" s="16"/>
      <c r="B38" s="15"/>
      <c r="C38" s="15"/>
      <c r="D38" s="16"/>
      <c r="E38" s="15"/>
    </row>
    <row r="39" spans="1:5" x14ac:dyDescent="0.25">
      <c r="A39" s="16"/>
      <c r="B39" s="15"/>
      <c r="C39" s="15"/>
      <c r="D39" s="16"/>
      <c r="E39" s="15"/>
    </row>
    <row r="40" spans="1:5" x14ac:dyDescent="0.25">
      <c r="A40" s="16"/>
      <c r="B40" s="15"/>
      <c r="C40" s="15"/>
      <c r="D40" s="16"/>
      <c r="E40" s="15"/>
    </row>
    <row r="41" spans="1:5" x14ac:dyDescent="0.25">
      <c r="A41" s="16"/>
      <c r="B41" s="15"/>
      <c r="C41" s="15"/>
      <c r="D41" s="16"/>
      <c r="E41" s="15"/>
    </row>
    <row r="42" spans="1:5" x14ac:dyDescent="0.25">
      <c r="A42" s="16"/>
      <c r="B42" s="15"/>
      <c r="C42" s="15"/>
      <c r="D42" s="16"/>
      <c r="E42" s="15"/>
    </row>
    <row r="43" spans="1:5" x14ac:dyDescent="0.25">
      <c r="A43" s="16"/>
      <c r="B43" s="15"/>
      <c r="C43" s="15"/>
      <c r="D43" s="15"/>
      <c r="E43" s="15"/>
    </row>
    <row r="44" spans="1:5" x14ac:dyDescent="0.25">
      <c r="A44" s="16"/>
      <c r="B44" s="15"/>
      <c r="C44" s="15"/>
      <c r="E44" s="15"/>
    </row>
    <row r="45" spans="1:5" x14ac:dyDescent="0.25">
      <c r="A45" s="16"/>
      <c r="E45" s="15"/>
    </row>
  </sheetData>
  <mergeCells count="1">
    <mergeCell ref="B28:C31"/>
  </mergeCells>
  <phoneticPr fontId="3" type="noConversion"/>
  <conditionalFormatting sqref="D24">
    <cfRule type="cellIs" dxfId="2" priority="2" operator="equal">
      <formula>100</formula>
    </cfRule>
    <cfRule type="cellIs" dxfId="1" priority="3" operator="greaterThan">
      <formula>100</formula>
    </cfRule>
  </conditionalFormatting>
  <conditionalFormatting sqref="E25">
    <cfRule type="expression" dxfId="0" priority="1">
      <formula>E25="Value cannot exceed 100%"</formula>
    </cfRule>
  </conditionalFormatting>
  <dataValidations count="2">
    <dataValidation type="list" allowBlank="1" showInputMessage="1" showErrorMessage="1" sqref="C11">
      <formula1>Variations</formula1>
    </dataValidation>
    <dataValidation type="decimal" allowBlank="1" showInputMessage="1" showErrorMessage="1" sqref="D18:D23">
      <formula1>0</formula1>
      <formula2>100</formula2>
    </dataValidation>
  </dataValidations>
  <pageMargins left="0.75" right="0.75" top="1" bottom="1" header="0.5" footer="0.5"/>
  <pageSetup paperSize="9" orientation="portrait" r:id="rId1"/>
  <headerFooter alignWithMargins="0"/>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'IGAD Variations+Levels'!$G$3:$G$5</xm:f>
          </x14:formula1>
          <xm:sqref>C26</xm:sqref>
        </x14:dataValidation>
        <x14:dataValidation type="list" allowBlank="1" showInputMessage="1" showErrorMessage="1">
          <x14:formula1>
            <xm:f>'IGAD Courses'!$B$3:$B$133</xm:f>
          </x14:formula1>
          <xm:sqref>C10</xm:sqref>
        </x14:dataValidation>
        <x14:dataValidation type="list" allowBlank="1" showInputMessage="1" showErrorMessage="1">
          <x14:formula1>
            <xm:f>'IGAD Variations+Levels'!$G$20:$G$22</xm:f>
          </x14:formula1>
          <xm:sqref>C32</xm:sqref>
        </x14:dataValidation>
        <x14:dataValidation type="list" allowBlank="1" showInputMessage="1" showErrorMessage="1">
          <x14:formula1>
            <xm:f>'IGAD Variations+Levels'!$B$9:$B$21</xm:f>
          </x14:formula1>
          <xm:sqref>C18:C23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9"/>
  <sheetViews>
    <sheetView tabSelected="1" topLeftCell="A4" workbookViewId="0">
      <selection activeCell="C14" sqref="C14"/>
    </sheetView>
  </sheetViews>
  <sheetFormatPr defaultRowHeight="13.2" x14ac:dyDescent="0.25"/>
  <cols>
    <col min="1" max="1" width="5.44140625" customWidth="1"/>
    <col min="2" max="2" width="54.6640625" customWidth="1"/>
    <col min="3" max="3" width="61.109375" customWidth="1"/>
    <col min="4" max="4" width="17.109375" customWidth="1"/>
    <col min="5" max="5" width="15.88671875" customWidth="1"/>
    <col min="6" max="6" width="15.6640625" customWidth="1"/>
    <col min="7" max="7" width="16.88671875" customWidth="1"/>
    <col min="8" max="8" width="17.44140625" customWidth="1"/>
  </cols>
  <sheetData>
    <row r="1" spans="1:7" ht="13.8" thickBot="1" x14ac:dyDescent="0.3"/>
    <row r="2" spans="1:7" ht="13.8" thickBot="1" x14ac:dyDescent="0.3">
      <c r="A2" s="22"/>
      <c r="B2" s="110" t="s">
        <v>212</v>
      </c>
      <c r="C2" s="129"/>
      <c r="D2" s="127"/>
      <c r="E2" s="127"/>
      <c r="F2" s="128"/>
    </row>
    <row r="3" spans="1:7" ht="13.8" thickBot="1" x14ac:dyDescent="0.3">
      <c r="A3" s="22"/>
      <c r="B3" s="22"/>
      <c r="C3" s="22"/>
      <c r="D3" s="22"/>
      <c r="E3" s="22"/>
      <c r="F3" s="22"/>
      <c r="G3" s="22"/>
    </row>
    <row r="4" spans="1:7" ht="13.8" thickBot="1" x14ac:dyDescent="0.3">
      <c r="A4" s="22"/>
      <c r="B4" s="107" t="s">
        <v>8</v>
      </c>
      <c r="C4" s="124"/>
      <c r="D4" s="130"/>
      <c r="E4" s="130"/>
      <c r="F4" s="131"/>
      <c r="G4" s="22"/>
    </row>
    <row r="5" spans="1:7" x14ac:dyDescent="0.25">
      <c r="A5" s="22"/>
      <c r="B5" s="17" t="s">
        <v>6</v>
      </c>
      <c r="C5" s="23" t="str">
        <f>'Course Overview'!C9</f>
        <v>IGAD</v>
      </c>
      <c r="D5" s="22"/>
      <c r="E5" s="22"/>
      <c r="F5" s="22"/>
      <c r="G5" s="22"/>
    </row>
    <row r="6" spans="1:7" x14ac:dyDescent="0.25">
      <c r="A6" s="22"/>
      <c r="B6" s="32" t="s">
        <v>13</v>
      </c>
      <c r="C6" s="23" t="str">
        <f>'Course Overview'!C10</f>
        <v>FGA2.GT1-02 Game Technology 1</v>
      </c>
      <c r="D6" s="32"/>
      <c r="E6" s="22"/>
      <c r="F6" s="22"/>
      <c r="G6" s="22"/>
    </row>
    <row r="7" spans="1:7" x14ac:dyDescent="0.25">
      <c r="A7" s="22"/>
      <c r="B7" s="32" t="s">
        <v>0</v>
      </c>
      <c r="C7" s="23" t="str">
        <f>'Course Overview'!C13</f>
        <v>Giuseppe Maggiore</v>
      </c>
      <c r="D7" s="22"/>
      <c r="E7" s="22"/>
      <c r="F7" s="22"/>
      <c r="G7" s="22"/>
    </row>
    <row r="8" spans="1:7" ht="13.8" thickBot="1" x14ac:dyDescent="0.3">
      <c r="A8" s="22"/>
      <c r="B8" s="32" t="s">
        <v>7</v>
      </c>
      <c r="C8" s="89">
        <f>'Course Overview'!C14</f>
        <v>41514</v>
      </c>
      <c r="D8" s="22"/>
      <c r="E8" s="22"/>
      <c r="F8" s="22"/>
      <c r="G8" s="22"/>
    </row>
    <row r="9" spans="1:7" ht="34.950000000000003" customHeight="1" thickBot="1" x14ac:dyDescent="0.3">
      <c r="A9" s="22"/>
      <c r="B9" s="133" t="s">
        <v>4</v>
      </c>
      <c r="C9" s="132" t="s">
        <v>5</v>
      </c>
      <c r="D9" s="134" t="s">
        <v>246</v>
      </c>
      <c r="E9" s="134" t="s">
        <v>247</v>
      </c>
      <c r="F9" s="135" t="s">
        <v>248</v>
      </c>
      <c r="G9" s="22"/>
    </row>
    <row r="10" spans="1:7" s="5" customFormat="1" ht="35.1" customHeight="1" x14ac:dyDescent="0.35">
      <c r="A10" s="98"/>
      <c r="B10" s="118" t="s">
        <v>43</v>
      </c>
      <c r="C10" s="168" t="s">
        <v>260</v>
      </c>
      <c r="D10" s="136" t="s">
        <v>206</v>
      </c>
      <c r="E10" s="136" t="s">
        <v>206</v>
      </c>
      <c r="F10" s="136"/>
      <c r="G10" s="33"/>
    </row>
    <row r="11" spans="1:7" s="5" customFormat="1" ht="35.1" customHeight="1" x14ac:dyDescent="0.35">
      <c r="A11" s="98"/>
      <c r="B11" s="14" t="s">
        <v>43</v>
      </c>
      <c r="C11" s="168" t="s">
        <v>261</v>
      </c>
      <c r="D11" s="136" t="s">
        <v>206</v>
      </c>
      <c r="E11" s="136" t="s">
        <v>206</v>
      </c>
      <c r="F11" s="136" t="s">
        <v>206</v>
      </c>
      <c r="G11" s="33"/>
    </row>
    <row r="12" spans="1:7" s="5" customFormat="1" ht="35.1" customHeight="1" x14ac:dyDescent="0.35">
      <c r="A12" s="98"/>
      <c r="B12" s="14" t="s">
        <v>44</v>
      </c>
      <c r="C12" s="168" t="s">
        <v>262</v>
      </c>
      <c r="D12" s="136" t="s">
        <v>206</v>
      </c>
      <c r="E12" s="136" t="s">
        <v>206</v>
      </c>
      <c r="F12" s="136"/>
      <c r="G12" s="33"/>
    </row>
    <row r="13" spans="1:7" s="5" customFormat="1" ht="35.1" customHeight="1" x14ac:dyDescent="0.35">
      <c r="A13" s="98"/>
      <c r="B13" s="14" t="s">
        <v>43</v>
      </c>
      <c r="C13" s="168" t="s">
        <v>263</v>
      </c>
      <c r="D13" s="136" t="s">
        <v>206</v>
      </c>
      <c r="E13" s="136" t="s">
        <v>206</v>
      </c>
      <c r="F13" s="136"/>
      <c r="G13" s="33"/>
    </row>
    <row r="14" spans="1:7" s="5" customFormat="1" ht="35.1" customHeight="1" x14ac:dyDescent="0.35">
      <c r="A14" s="98"/>
      <c r="B14" s="14" t="s">
        <v>43</v>
      </c>
      <c r="C14" s="168" t="s">
        <v>264</v>
      </c>
      <c r="D14" s="136" t="s">
        <v>206</v>
      </c>
      <c r="E14" s="136" t="s">
        <v>206</v>
      </c>
      <c r="F14" s="136" t="s">
        <v>206</v>
      </c>
      <c r="G14" s="33"/>
    </row>
    <row r="15" spans="1:7" s="5" customFormat="1" ht="35.1" customHeight="1" x14ac:dyDescent="0.25">
      <c r="A15" s="98"/>
      <c r="B15" s="14" t="s">
        <v>210</v>
      </c>
      <c r="C15" s="87" t="s">
        <v>219</v>
      </c>
      <c r="D15" s="136"/>
      <c r="E15" s="136"/>
      <c r="F15" s="136"/>
      <c r="G15" s="33"/>
    </row>
    <row r="16" spans="1:7" s="5" customFormat="1" ht="35.1" customHeight="1" x14ac:dyDescent="0.25">
      <c r="A16" s="98"/>
      <c r="B16" s="14" t="s">
        <v>210</v>
      </c>
      <c r="C16" s="87" t="s">
        <v>219</v>
      </c>
      <c r="D16" s="136"/>
      <c r="E16" s="136"/>
      <c r="F16" s="136"/>
    </row>
    <row r="17" spans="1:6" s="5" customFormat="1" ht="35.1" customHeight="1" x14ac:dyDescent="0.25">
      <c r="A17" s="98"/>
      <c r="B17" s="14" t="s">
        <v>210</v>
      </c>
      <c r="C17" s="87" t="s">
        <v>219</v>
      </c>
      <c r="D17" s="136"/>
      <c r="E17" s="136"/>
      <c r="F17" s="136"/>
    </row>
    <row r="18" spans="1:6" x14ac:dyDescent="0.25">
      <c r="A18" s="22"/>
      <c r="B18" s="22"/>
      <c r="C18" s="22"/>
      <c r="D18" s="22"/>
    </row>
    <row r="19" spans="1:6" x14ac:dyDescent="0.25">
      <c r="A19" s="22"/>
      <c r="B19" s="22"/>
      <c r="C19" s="22"/>
      <c r="D19" s="22"/>
    </row>
  </sheetData>
  <phoneticPr fontId="3" type="noConversion"/>
  <pageMargins left="0.75" right="0.75" top="1" bottom="1" header="0.5" footer="0.5"/>
  <pageSetup paperSize="9" orientation="portrait" horizontalDpi="1200" verticalDpi="1200" r:id="rId1"/>
  <headerFooter alignWithMargins="0"/>
  <drawing r:id="rId2"/>
  <extLst>
    <ext xmlns:x14="http://schemas.microsoft.com/office/spreadsheetml/2009/9/main" uri="{CCE6A557-97BC-4b89-ADB6-D9C93CAAB3DF}">
      <x14:dataValidations xmlns:xm="http://schemas.microsoft.com/office/excel/2006/main" count="4">
        <x14:dataValidation type="list" showInputMessage="1" showErrorMessage="1">
          <x14:formula1>
            <xm:f>'IGAD Compentencies'!$B$3:$B$29</xm:f>
          </x14:formula1>
          <xm:sqref>B11 B13:B17</xm:sqref>
        </x14:dataValidation>
        <x14:dataValidation type="list" showInputMessage="1" showErrorMessage="1">
          <x14:formula1>
            <xm:f>'IGAD Compentencies'!$B$3:$B$29</xm:f>
          </x14:formula1>
          <xm:sqref>B12</xm:sqref>
        </x14:dataValidation>
        <x14:dataValidation type="list" allowBlank="1" showInputMessage="1" showErrorMessage="1">
          <x14:formula1>
            <xm:f>'IGAD Variations+Levels'!$G$16:$G$17</xm:f>
          </x14:formula1>
          <xm:sqref>D10:F17</xm:sqref>
        </x14:dataValidation>
        <x14:dataValidation type="list" showInputMessage="1" showErrorMessage="1">
          <x14:formula1>
            <xm:f>'IGAD Compentencies'!B3:B29</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
  <sheetViews>
    <sheetView workbookViewId="0">
      <selection activeCell="F10" sqref="F10"/>
    </sheetView>
  </sheetViews>
  <sheetFormatPr defaultRowHeight="13.2" x14ac:dyDescent="0.25"/>
  <cols>
    <col min="1" max="1" width="4.88671875" style="3" customWidth="1"/>
    <col min="2" max="2" width="45.5546875" customWidth="1"/>
    <col min="3" max="8" width="23.6640625" customWidth="1"/>
    <col min="9" max="9" width="4.88671875" customWidth="1"/>
    <col min="10" max="10" width="4" style="3" customWidth="1"/>
    <col min="11" max="11" width="25.44140625" customWidth="1"/>
  </cols>
  <sheetData>
    <row r="1" spans="1:10" ht="13.8" thickBot="1" x14ac:dyDescent="0.3"/>
    <row r="2" spans="1:10" ht="13.8" thickBot="1" x14ac:dyDescent="0.3">
      <c r="B2" s="110" t="s">
        <v>212</v>
      </c>
      <c r="C2" s="125"/>
      <c r="D2" s="126"/>
      <c r="E2" s="127"/>
      <c r="F2" s="127"/>
      <c r="G2" s="127"/>
      <c r="H2" s="128"/>
      <c r="I2" s="22"/>
      <c r="J2" s="22"/>
    </row>
    <row r="3" spans="1:10" ht="13.8" thickBot="1" x14ac:dyDescent="0.3">
      <c r="B3" s="22"/>
      <c r="C3" s="22"/>
      <c r="D3" s="22"/>
      <c r="E3" s="22"/>
      <c r="F3" s="22"/>
      <c r="G3" s="22"/>
      <c r="H3" s="22"/>
      <c r="I3" s="22"/>
      <c r="J3" s="22"/>
    </row>
    <row r="4" spans="1:10" ht="13.8" thickBot="1" x14ac:dyDescent="0.3">
      <c r="B4" s="107" t="s">
        <v>3</v>
      </c>
      <c r="C4" s="124"/>
      <c r="D4" s="124"/>
      <c r="E4" s="124"/>
      <c r="F4" s="124"/>
      <c r="G4" s="124"/>
      <c r="H4" s="108"/>
      <c r="I4" s="16"/>
      <c r="J4" s="22"/>
    </row>
    <row r="5" spans="1:10" x14ac:dyDescent="0.25">
      <c r="B5" s="4" t="s">
        <v>6</v>
      </c>
      <c r="C5" s="2" t="str">
        <f>'Course Overview'!C9</f>
        <v>IGAD</v>
      </c>
      <c r="D5" s="3"/>
      <c r="E5" s="3"/>
      <c r="F5" s="3"/>
      <c r="G5" s="4" t="s">
        <v>0</v>
      </c>
      <c r="H5" s="2" t="str">
        <f>'Course Overview'!C13</f>
        <v>Giuseppe Maggiore</v>
      </c>
      <c r="I5" s="22"/>
      <c r="J5" s="22"/>
    </row>
    <row r="6" spans="1:10" ht="13.8" thickBot="1" x14ac:dyDescent="0.3">
      <c r="B6" s="4" t="s">
        <v>13</v>
      </c>
      <c r="C6" s="2" t="str">
        <f>'Course Overview'!C10</f>
        <v>FGA2.GT1-02 Game Technology 1</v>
      </c>
      <c r="D6" s="4"/>
      <c r="E6" s="3"/>
      <c r="F6" s="3"/>
      <c r="G6" s="4" t="s">
        <v>1</v>
      </c>
      <c r="H6" s="90">
        <f>'Course Overview'!C14</f>
        <v>41514</v>
      </c>
      <c r="I6" s="22"/>
      <c r="J6" s="22"/>
    </row>
    <row r="7" spans="1:10" x14ac:dyDescent="0.25">
      <c r="B7" s="157" t="s">
        <v>5</v>
      </c>
      <c r="C7" s="159" t="str">
        <f>'Course Overview'!C18</f>
        <v>Practical 3D assignment</v>
      </c>
      <c r="D7" s="153" t="str">
        <f>'Course Overview'!C19</f>
        <v>Practical 3D assignment</v>
      </c>
      <c r="E7" s="153" t="str">
        <f>'Course Overview'!C20</f>
        <v>Practical 3D assignment</v>
      </c>
      <c r="F7" s="153" t="str">
        <f>'Course Overview'!C21</f>
        <v>Practical 3D assignment</v>
      </c>
      <c r="G7" s="153" t="str">
        <f>'Course Overview'!C22</f>
        <v>Practical 3D assignment</v>
      </c>
      <c r="H7" s="155">
        <f>'Course Overview'!C23</f>
        <v>0</v>
      </c>
      <c r="I7" s="22"/>
      <c r="J7" s="22"/>
    </row>
    <row r="8" spans="1:10" ht="24" customHeight="1" thickBot="1" x14ac:dyDescent="0.3">
      <c r="B8" s="158"/>
      <c r="C8" s="160"/>
      <c r="D8" s="154"/>
      <c r="E8" s="161"/>
      <c r="F8" s="154"/>
      <c r="G8" s="154"/>
      <c r="H8" s="156"/>
      <c r="J8"/>
    </row>
    <row r="9" spans="1:10" ht="45" customHeight="1" x14ac:dyDescent="0.25">
      <c r="B9" s="115" t="str">
        <f>'Learning Objectives'!C10</f>
        <v>Build a basic kinematic simulator with RK2 or RK4. The simulator tracks position, velocity, rotation, angular rotation, mass, intertia tensor of arbitrary convex polytopes. Understand the difference in precision, stability, and performance of different integration methods. Understand numerical drift for rotation matrices and quaternions, and how to compensate through normalization.</v>
      </c>
      <c r="C9" s="113" t="s">
        <v>206</v>
      </c>
      <c r="D9" s="114" t="s">
        <v>206</v>
      </c>
      <c r="E9" s="114" t="s">
        <v>206</v>
      </c>
      <c r="F9" s="114" t="s">
        <v>206</v>
      </c>
      <c r="G9" s="114" t="s">
        <v>206</v>
      </c>
      <c r="H9" s="112"/>
      <c r="J9"/>
    </row>
    <row r="10" spans="1:10" s="10" customFormat="1" ht="45" customHeight="1" x14ac:dyDescent="0.25">
      <c r="A10" s="11"/>
      <c r="B10" s="116" t="str">
        <f>'Learning Objectives'!C11</f>
        <v>Build a system for SAT computation of arbitrary convex polytopes. Understand the various kinds of contact manifold determination, and build at least one.</v>
      </c>
      <c r="C10" s="114" t="s">
        <v>206</v>
      </c>
      <c r="D10" s="67"/>
      <c r="E10" s="67" t="s">
        <v>206</v>
      </c>
      <c r="F10" s="67" t="s">
        <v>206</v>
      </c>
      <c r="G10" s="67"/>
      <c r="H10" s="67"/>
    </row>
    <row r="11" spans="1:10" s="10" customFormat="1" ht="45" customHeight="1" x14ac:dyDescent="0.25">
      <c r="A11" s="11"/>
      <c r="B11" s="116" t="str">
        <f>'Learning Objectives'!C12</f>
        <v>Understand how to reduce the number of expensive collision tests with broad-phase methods such as bounding spheres, bins, and axis algined bounding boxes (AABBs). Build AABBs collision detection with the method of overlapping intervals. Understand how to reduce the number of SAT tests by exploiting the symmetry of a convex polytope.</v>
      </c>
      <c r="C11" s="114"/>
      <c r="D11" s="67"/>
      <c r="E11" s="67"/>
      <c r="F11" s="67"/>
      <c r="G11" s="67"/>
      <c r="H11" s="67"/>
    </row>
    <row r="12" spans="1:10" s="10" customFormat="1" ht="45" customHeight="1" x14ac:dyDescent="0.25">
      <c r="A12" s="11"/>
      <c r="B12" s="116" t="str">
        <f>'Learning Objectives'!C13</f>
        <v>Understand the Projected Gauss-Seidel method. Build an impulse-based collision response system for all pairs of objects simultaneously.</v>
      </c>
      <c r="C12" s="114"/>
      <c r="D12" s="67"/>
      <c r="E12" s="67"/>
      <c r="F12" s="67"/>
      <c r="G12" s="67"/>
      <c r="H12" s="67"/>
    </row>
    <row r="13" spans="1:10" s="10" customFormat="1" ht="45" customHeight="1" x14ac:dyDescent="0.25">
      <c r="A13" s="11"/>
      <c r="B13" s="116" t="str">
        <f>'Learning Objectives'!C14</f>
        <v>Understand forces from various domains of physics: gravity, friction, springs, bullets, and cars. Build at least one of those into the simulation.</v>
      </c>
      <c r="C13" s="114"/>
      <c r="D13" s="67"/>
      <c r="E13" s="67"/>
      <c r="F13" s="67"/>
      <c r="G13" s="67"/>
      <c r="H13" s="67"/>
    </row>
    <row r="14" spans="1:10" s="10" customFormat="1" ht="45" customHeight="1" x14ac:dyDescent="0.25">
      <c r="A14" s="11"/>
      <c r="B14" s="116" t="str">
        <f>'Learning Objectives'!C15</f>
        <v xml:space="preserve">
</v>
      </c>
      <c r="C14" s="114"/>
      <c r="D14" s="67"/>
      <c r="E14" s="67"/>
      <c r="F14" s="67"/>
      <c r="G14" s="67"/>
      <c r="H14" s="67"/>
    </row>
    <row r="15" spans="1:10" s="10" customFormat="1" ht="45" customHeight="1" x14ac:dyDescent="0.25">
      <c r="A15" s="11"/>
      <c r="B15" s="116" t="str">
        <f>'Learning Objectives'!C16</f>
        <v xml:space="preserve">
</v>
      </c>
      <c r="C15" s="114"/>
      <c r="D15" s="67"/>
      <c r="E15" s="67"/>
      <c r="F15" s="67"/>
      <c r="G15" s="67"/>
      <c r="H15" s="67"/>
    </row>
    <row r="16" spans="1:10" s="10" customFormat="1" ht="34.200000000000003" thickBot="1" x14ac:dyDescent="0.3">
      <c r="A16" s="11"/>
      <c r="B16" s="117" t="str">
        <f>'Learning Objectives'!C17</f>
        <v xml:space="preserve">
</v>
      </c>
      <c r="C16" s="114"/>
      <c r="D16" s="67"/>
      <c r="E16" s="67"/>
      <c r="F16" s="67"/>
      <c r="G16" s="67"/>
      <c r="H16" s="67"/>
    </row>
    <row r="17" spans="1:10" s="10" customFormat="1" x14ac:dyDescent="0.25">
      <c r="A17" s="11"/>
      <c r="B17"/>
      <c r="C17"/>
      <c r="D17"/>
      <c r="E17"/>
      <c r="F17"/>
      <c r="G17" s="11"/>
    </row>
    <row r="18" spans="1:10" s="10" customFormat="1" x14ac:dyDescent="0.25">
      <c r="A18" s="11"/>
      <c r="B18"/>
      <c r="C18"/>
      <c r="D18"/>
      <c r="E18"/>
      <c r="F18"/>
      <c r="G18" s="11"/>
    </row>
    <row r="19" spans="1:10" x14ac:dyDescent="0.25">
      <c r="G19" s="3"/>
      <c r="J19"/>
    </row>
    <row r="20" spans="1:10" ht="53.25" customHeight="1" x14ac:dyDescent="0.25">
      <c r="G20" s="3"/>
      <c r="H20" s="3"/>
      <c r="I20" s="3"/>
    </row>
    <row r="21" spans="1:10" s="10" customFormat="1" x14ac:dyDescent="0.25">
      <c r="A21" s="11"/>
      <c r="B21"/>
      <c r="C21"/>
      <c r="D21"/>
      <c r="E21"/>
      <c r="F21"/>
      <c r="G21"/>
      <c r="H21"/>
      <c r="I21"/>
      <c r="J21" s="11"/>
    </row>
    <row r="22" spans="1:10" s="10" customFormat="1" x14ac:dyDescent="0.25">
      <c r="A22" s="11"/>
      <c r="B22"/>
      <c r="C22"/>
      <c r="D22"/>
      <c r="E22"/>
      <c r="F22"/>
      <c r="G22"/>
      <c r="H22"/>
      <c r="I22"/>
      <c r="J22" s="11"/>
    </row>
    <row r="23" spans="1:10" s="10" customFormat="1" x14ac:dyDescent="0.25">
      <c r="A23" s="11"/>
      <c r="B23"/>
      <c r="C23"/>
      <c r="D23"/>
      <c r="E23"/>
      <c r="F23"/>
      <c r="G23"/>
      <c r="H23"/>
      <c r="I23"/>
      <c r="J23" s="11"/>
    </row>
    <row r="24" spans="1:10" s="10" customFormat="1" x14ac:dyDescent="0.25">
      <c r="A24" s="11"/>
      <c r="B24"/>
      <c r="C24"/>
      <c r="D24"/>
      <c r="E24"/>
      <c r="F24"/>
      <c r="G24"/>
      <c r="H24"/>
      <c r="I24"/>
      <c r="J24" s="11"/>
    </row>
    <row r="25" spans="1:10" s="10" customFormat="1" x14ac:dyDescent="0.25">
      <c r="A25" s="11"/>
      <c r="B25"/>
      <c r="C25"/>
      <c r="D25"/>
      <c r="E25"/>
      <c r="F25"/>
      <c r="G25"/>
      <c r="H25"/>
      <c r="I25"/>
      <c r="J25" s="11"/>
    </row>
    <row r="26" spans="1:10" s="10" customFormat="1" x14ac:dyDescent="0.25">
      <c r="A26" s="11"/>
      <c r="B26"/>
      <c r="C26"/>
      <c r="D26"/>
      <c r="E26"/>
      <c r="F26"/>
      <c r="G26"/>
      <c r="H26"/>
      <c r="I26"/>
      <c r="J26" s="11"/>
    </row>
    <row r="27" spans="1:10" s="10" customFormat="1" x14ac:dyDescent="0.25">
      <c r="A27" s="11"/>
      <c r="B27"/>
      <c r="C27"/>
      <c r="D27"/>
      <c r="E27"/>
      <c r="F27"/>
      <c r="G27"/>
      <c r="H27"/>
      <c r="I27"/>
      <c r="J27" s="11"/>
    </row>
    <row r="28" spans="1:10" s="10" customFormat="1" x14ac:dyDescent="0.25">
      <c r="A28" s="11"/>
      <c r="B28"/>
      <c r="C28"/>
      <c r="D28"/>
      <c r="E28"/>
      <c r="F28"/>
      <c r="G28"/>
      <c r="H28"/>
      <c r="I28"/>
      <c r="J28" s="11"/>
    </row>
    <row r="29" spans="1:10" s="10" customFormat="1" x14ac:dyDescent="0.25">
      <c r="A29" s="11"/>
      <c r="B29"/>
      <c r="C29"/>
      <c r="D29"/>
      <c r="E29"/>
      <c r="F29"/>
      <c r="G29"/>
      <c r="H29"/>
      <c r="I29"/>
      <c r="J29" s="11"/>
    </row>
    <row r="30" spans="1:10" s="10" customFormat="1" x14ac:dyDescent="0.25">
      <c r="A30" s="11"/>
      <c r="B30"/>
      <c r="C30"/>
      <c r="D30"/>
      <c r="E30"/>
      <c r="F30"/>
      <c r="G30"/>
      <c r="H30"/>
      <c r="I30"/>
      <c r="J30" s="11"/>
    </row>
  </sheetData>
  <mergeCells count="7">
    <mergeCell ref="G7:G8"/>
    <mergeCell ref="H7:H8"/>
    <mergeCell ref="B7:B8"/>
    <mergeCell ref="C7:C8"/>
    <mergeCell ref="D7:D8"/>
    <mergeCell ref="E7:E8"/>
    <mergeCell ref="F7:F8"/>
  </mergeCells>
  <phoneticPr fontId="3" type="noConversion"/>
  <pageMargins left="0.75" right="0.75" top="1" bottom="1" header="0.5" footer="0.5"/>
  <pageSetup paperSize="9" orientation="landscape" horizontalDpi="1200" verticalDpi="1200"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'IGAD Variations+Levels'!$G$16:$G$17</xm:f>
          </x14:formula1>
          <xm:sqref>C9:H16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50"/>
  <sheetViews>
    <sheetView topLeftCell="B5" workbookViewId="0">
      <selection activeCell="C31" sqref="C31"/>
    </sheetView>
  </sheetViews>
  <sheetFormatPr defaultRowHeight="13.2" x14ac:dyDescent="0.25"/>
  <cols>
    <col min="1" max="1" width="4.88671875" customWidth="1"/>
    <col min="2" max="2" width="73.44140625" customWidth="1"/>
    <col min="3" max="3" width="95.44140625" customWidth="1"/>
    <col min="7" max="7" width="16.88671875" customWidth="1"/>
    <col min="8" max="8" width="17.44140625" customWidth="1"/>
  </cols>
  <sheetData>
    <row r="1" spans="1:4" ht="13.8" thickBot="1" x14ac:dyDescent="0.3"/>
    <row r="2" spans="1:4" ht="13.8" thickBot="1" x14ac:dyDescent="0.3">
      <c r="B2" s="110" t="s">
        <v>212</v>
      </c>
      <c r="C2" s="111"/>
    </row>
    <row r="3" spans="1:4" ht="13.8" thickBot="1" x14ac:dyDescent="0.3">
      <c r="A3" s="3"/>
      <c r="B3" s="3"/>
      <c r="C3" s="3"/>
      <c r="D3" s="22"/>
    </row>
    <row r="4" spans="1:4" ht="13.8" thickBot="1" x14ac:dyDescent="0.3">
      <c r="A4" s="3"/>
      <c r="B4" s="107" t="s">
        <v>239</v>
      </c>
      <c r="C4" s="108"/>
      <c r="D4" s="22"/>
    </row>
    <row r="5" spans="1:4" x14ac:dyDescent="0.25">
      <c r="A5" s="3"/>
      <c r="B5" s="56" t="s">
        <v>6</v>
      </c>
      <c r="C5" s="57" t="str">
        <f>'Course Overview'!C9</f>
        <v>IGAD</v>
      </c>
      <c r="D5" s="22"/>
    </row>
    <row r="6" spans="1:4" x14ac:dyDescent="0.25">
      <c r="A6" s="3"/>
      <c r="B6" s="56" t="s">
        <v>14</v>
      </c>
      <c r="C6" s="57" t="str">
        <f>'Course Overview'!C10</f>
        <v>FGA2.GT1-02 Game Technology 1</v>
      </c>
      <c r="D6" s="32"/>
    </row>
    <row r="7" spans="1:4" x14ac:dyDescent="0.25">
      <c r="A7" s="3"/>
      <c r="B7" s="56" t="s">
        <v>10</v>
      </c>
      <c r="C7" s="58">
        <f>'Course Overview'!C12</f>
        <v>4</v>
      </c>
      <c r="D7" s="32"/>
    </row>
    <row r="8" spans="1:4" x14ac:dyDescent="0.25">
      <c r="A8" s="3"/>
      <c r="B8" s="56" t="s">
        <v>0</v>
      </c>
      <c r="C8" s="57" t="str">
        <f>'Course Overview'!C13</f>
        <v>Giuseppe Maggiore</v>
      </c>
      <c r="D8" s="22"/>
    </row>
    <row r="9" spans="1:4" x14ac:dyDescent="0.25">
      <c r="A9" s="3"/>
      <c r="B9" s="56" t="s">
        <v>7</v>
      </c>
      <c r="C9" s="92">
        <f>'Course Overview'!C14</f>
        <v>41514</v>
      </c>
      <c r="D9" s="22"/>
    </row>
    <row r="10" spans="1:4" ht="13.8" thickBot="1" x14ac:dyDescent="0.3">
      <c r="A10" s="3"/>
      <c r="B10" s="56"/>
      <c r="C10" s="59"/>
      <c r="D10" s="22"/>
    </row>
    <row r="11" spans="1:4" ht="13.8" thickBot="1" x14ac:dyDescent="0.3">
      <c r="A11" s="3"/>
      <c r="B11" s="109" t="s">
        <v>230</v>
      </c>
      <c r="C11" s="106"/>
      <c r="D11" s="22"/>
    </row>
    <row r="12" spans="1:4" ht="15.6" x14ac:dyDescent="0.3">
      <c r="A12" s="3"/>
      <c r="B12" s="105" t="s">
        <v>226</v>
      </c>
      <c r="C12" s="162" t="s">
        <v>256</v>
      </c>
      <c r="D12" s="22"/>
    </row>
    <row r="13" spans="1:4" x14ac:dyDescent="0.25">
      <c r="A13" s="3"/>
      <c r="B13" s="101" t="s">
        <v>234</v>
      </c>
      <c r="C13" s="162"/>
      <c r="D13" s="22"/>
    </row>
    <row r="14" spans="1:4" x14ac:dyDescent="0.25">
      <c r="A14" s="3"/>
      <c r="B14" s="101" t="s">
        <v>232</v>
      </c>
      <c r="C14" s="162"/>
      <c r="D14" s="22"/>
    </row>
    <row r="15" spans="1:4" x14ac:dyDescent="0.25">
      <c r="A15" s="3"/>
      <c r="B15" s="42"/>
      <c r="C15" s="163"/>
      <c r="D15" s="22"/>
    </row>
    <row r="16" spans="1:4" ht="15.6" x14ac:dyDescent="0.3">
      <c r="A16" s="3"/>
      <c r="B16" s="105" t="s">
        <v>227</v>
      </c>
      <c r="C16" s="164" t="s">
        <v>257</v>
      </c>
      <c r="D16" s="22"/>
    </row>
    <row r="17" spans="1:4" x14ac:dyDescent="0.25">
      <c r="A17" s="3"/>
      <c r="B17" s="101" t="s">
        <v>235</v>
      </c>
      <c r="C17" s="165"/>
      <c r="D17" s="22"/>
    </row>
    <row r="18" spans="1:4" x14ac:dyDescent="0.25">
      <c r="A18" s="3"/>
      <c r="B18" s="101" t="s">
        <v>231</v>
      </c>
      <c r="C18" s="165"/>
      <c r="D18" s="22"/>
    </row>
    <row r="19" spans="1:4" x14ac:dyDescent="0.25">
      <c r="A19" s="3"/>
      <c r="B19" s="102"/>
      <c r="C19" s="166"/>
      <c r="D19" s="22"/>
    </row>
    <row r="20" spans="1:4" ht="15.6" x14ac:dyDescent="0.3">
      <c r="A20" s="3"/>
      <c r="B20" s="104" t="s">
        <v>228</v>
      </c>
      <c r="C20" s="167" t="s">
        <v>258</v>
      </c>
      <c r="D20" s="22"/>
    </row>
    <row r="21" spans="1:4" x14ac:dyDescent="0.25">
      <c r="A21" s="3"/>
      <c r="B21" s="101" t="s">
        <v>236</v>
      </c>
      <c r="C21" s="162"/>
      <c r="D21" s="22"/>
    </row>
    <row r="22" spans="1:4" x14ac:dyDescent="0.25">
      <c r="A22" s="3"/>
      <c r="B22" s="101" t="s">
        <v>237</v>
      </c>
      <c r="C22" s="162"/>
      <c r="D22" s="22"/>
    </row>
    <row r="23" spans="1:4" x14ac:dyDescent="0.25">
      <c r="A23" s="3"/>
      <c r="B23" s="102"/>
      <c r="C23" s="163"/>
      <c r="D23" s="22"/>
    </row>
    <row r="24" spans="1:4" ht="15.6" x14ac:dyDescent="0.3">
      <c r="A24" s="3"/>
      <c r="B24" s="104" t="s">
        <v>229</v>
      </c>
      <c r="C24" s="164" t="s">
        <v>259</v>
      </c>
      <c r="D24" s="22"/>
    </row>
    <row r="25" spans="1:4" x14ac:dyDescent="0.25">
      <c r="A25" s="3"/>
      <c r="B25" s="101" t="s">
        <v>238</v>
      </c>
      <c r="C25" s="165"/>
      <c r="D25" s="22"/>
    </row>
    <row r="26" spans="1:4" x14ac:dyDescent="0.25">
      <c r="A26" s="3"/>
      <c r="B26" s="101" t="s">
        <v>233</v>
      </c>
      <c r="C26" s="165"/>
      <c r="D26" s="22"/>
    </row>
    <row r="27" spans="1:4" x14ac:dyDescent="0.25">
      <c r="A27" s="3"/>
      <c r="B27" s="102"/>
      <c r="C27" s="166"/>
      <c r="D27" s="22"/>
    </row>
    <row r="28" spans="1:4" x14ac:dyDescent="0.25">
      <c r="A28" s="3"/>
      <c r="B28" s="17"/>
      <c r="C28" s="16"/>
      <c r="D28" s="22"/>
    </row>
    <row r="29" spans="1:4" x14ac:dyDescent="0.25">
      <c r="A29" s="3"/>
      <c r="B29" s="60" t="s">
        <v>12</v>
      </c>
      <c r="C29" s="88" t="s">
        <v>211</v>
      </c>
      <c r="D29" s="22"/>
    </row>
    <row r="30" spans="1:4" x14ac:dyDescent="0.25">
      <c r="A30" s="22"/>
      <c r="B30" s="17"/>
      <c r="C30" s="19"/>
      <c r="D30" s="22"/>
    </row>
    <row r="31" spans="1:4" x14ac:dyDescent="0.25">
      <c r="A31" s="22"/>
      <c r="B31" s="103"/>
      <c r="C31" s="18"/>
      <c r="D31" s="22"/>
    </row>
    <row r="32" spans="1:4" x14ac:dyDescent="0.25">
      <c r="A32" s="22"/>
      <c r="B32" s="18"/>
      <c r="C32" s="16"/>
      <c r="D32" s="22"/>
    </row>
    <row r="33" spans="1:4" x14ac:dyDescent="0.25">
      <c r="A33" s="22"/>
      <c r="B33" s="18"/>
      <c r="C33" s="16"/>
      <c r="D33" s="22"/>
    </row>
    <row r="34" spans="1:4" x14ac:dyDescent="0.25">
      <c r="A34" s="22"/>
      <c r="B34" s="18"/>
      <c r="C34" s="16"/>
      <c r="D34" s="22"/>
    </row>
    <row r="35" spans="1:4" x14ac:dyDescent="0.25">
      <c r="A35" s="22"/>
      <c r="B35" s="18"/>
      <c r="C35" s="16"/>
      <c r="D35" s="22"/>
    </row>
    <row r="36" spans="1:4" x14ac:dyDescent="0.25">
      <c r="A36" s="22"/>
      <c r="B36" s="22"/>
      <c r="C36" s="22"/>
      <c r="D36" s="22"/>
    </row>
    <row r="37" spans="1:4" x14ac:dyDescent="0.25">
      <c r="A37" s="22"/>
      <c r="B37" s="22"/>
      <c r="C37" s="22"/>
      <c r="D37" s="22"/>
    </row>
    <row r="38" spans="1:4" x14ac:dyDescent="0.25">
      <c r="A38" s="22"/>
      <c r="B38" s="22"/>
      <c r="C38" s="22"/>
      <c r="D38" s="22"/>
    </row>
    <row r="39" spans="1:4" x14ac:dyDescent="0.25">
      <c r="A39" s="3"/>
      <c r="D39" s="22"/>
    </row>
    <row r="40" spans="1:4" x14ac:dyDescent="0.25">
      <c r="A40" s="3"/>
      <c r="D40" s="22"/>
    </row>
    <row r="41" spans="1:4" x14ac:dyDescent="0.25">
      <c r="A41" s="3"/>
      <c r="D41" s="22"/>
    </row>
    <row r="42" spans="1:4" x14ac:dyDescent="0.25">
      <c r="A42" s="3"/>
      <c r="D42" s="22"/>
    </row>
    <row r="43" spans="1:4" x14ac:dyDescent="0.25">
      <c r="A43" s="3"/>
      <c r="D43" s="22"/>
    </row>
    <row r="44" spans="1:4" x14ac:dyDescent="0.25">
      <c r="A44" s="3"/>
      <c r="D44" s="22"/>
    </row>
    <row r="45" spans="1:4" x14ac:dyDescent="0.25">
      <c r="A45" s="3"/>
      <c r="D45" s="22"/>
    </row>
    <row r="46" spans="1:4" x14ac:dyDescent="0.25">
      <c r="A46" s="3"/>
      <c r="D46" s="22"/>
    </row>
    <row r="47" spans="1:4" x14ac:dyDescent="0.25">
      <c r="A47" s="3"/>
      <c r="D47" s="22"/>
    </row>
    <row r="48" spans="1:4" x14ac:dyDescent="0.25">
      <c r="A48" s="3"/>
      <c r="D48" s="22"/>
    </row>
    <row r="49" spans="1:4" x14ac:dyDescent="0.25">
      <c r="A49" s="3"/>
      <c r="D49" s="22"/>
    </row>
    <row r="50" spans="1:4" x14ac:dyDescent="0.25">
      <c r="D50" s="22"/>
    </row>
  </sheetData>
  <mergeCells count="4">
    <mergeCell ref="C12:C15"/>
    <mergeCell ref="C16:C19"/>
    <mergeCell ref="C20:C23"/>
    <mergeCell ref="C24:C27"/>
  </mergeCells>
  <dataValidations count="1">
    <dataValidation type="whole" allowBlank="1" showInputMessage="1" showErrorMessage="1" sqref="C7">
      <formula1>1</formula1>
      <formula2>60</formula2>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D33"/>
  <sheetViews>
    <sheetView workbookViewId="0">
      <selection activeCell="F30" sqref="F30"/>
    </sheetView>
  </sheetViews>
  <sheetFormatPr defaultRowHeight="13.2" x14ac:dyDescent="0.25"/>
  <cols>
    <col min="2" max="2" width="67.109375" customWidth="1"/>
    <col min="3" max="3" width="23.6640625" customWidth="1"/>
    <col min="4" max="4" width="57.88671875" customWidth="1"/>
  </cols>
  <sheetData>
    <row r="2" spans="2:4" x14ac:dyDescent="0.25">
      <c r="B2" s="77" t="s">
        <v>218</v>
      </c>
      <c r="C2" s="79"/>
      <c r="D2" s="78"/>
    </row>
    <row r="4" spans="2:4" x14ac:dyDescent="0.25">
      <c r="B4" s="7" t="s">
        <v>220</v>
      </c>
      <c r="C4" s="9"/>
      <c r="D4" s="8"/>
    </row>
    <row r="5" spans="2:4" x14ac:dyDescent="0.25">
      <c r="B5" s="17" t="s">
        <v>6</v>
      </c>
      <c r="C5" s="18" t="s">
        <v>2</v>
      </c>
    </row>
    <row r="6" spans="2:4" x14ac:dyDescent="0.25">
      <c r="B6" s="17" t="s">
        <v>14</v>
      </c>
      <c r="C6" s="18" t="str">
        <f>'Course Overview'!C10</f>
        <v>FGA2.GT1-02 Game Technology 1</v>
      </c>
    </row>
    <row r="7" spans="2:4" x14ac:dyDescent="0.25">
      <c r="B7" s="17" t="s">
        <v>10</v>
      </c>
      <c r="C7" s="69">
        <f>'Course Overview'!C12</f>
        <v>4</v>
      </c>
    </row>
    <row r="8" spans="2:4" x14ac:dyDescent="0.25">
      <c r="B8" s="17" t="s">
        <v>0</v>
      </c>
      <c r="C8" s="70" t="str">
        <f>'Course Overview'!C13</f>
        <v>Giuseppe Maggiore</v>
      </c>
    </row>
    <row r="9" spans="2:4" x14ac:dyDescent="0.25">
      <c r="B9" s="17" t="s">
        <v>7</v>
      </c>
      <c r="C9" s="91">
        <f>'Course Overview'!C14</f>
        <v>41514</v>
      </c>
    </row>
    <row r="10" spans="2:4" x14ac:dyDescent="0.25">
      <c r="B10" s="22"/>
      <c r="C10" s="22"/>
    </row>
    <row r="11" spans="2:4" x14ac:dyDescent="0.25">
      <c r="B11" s="73"/>
      <c r="C11" s="73"/>
      <c r="D11" s="6" t="s">
        <v>216</v>
      </c>
    </row>
    <row r="12" spans="2:4" ht="40.200000000000003" customHeight="1" x14ac:dyDescent="0.25">
      <c r="B12" s="74" t="s">
        <v>217</v>
      </c>
      <c r="C12" s="80" t="s">
        <v>210</v>
      </c>
      <c r="D12" s="75"/>
    </row>
    <row r="13" spans="2:4" ht="40.200000000000003" customHeight="1" x14ac:dyDescent="0.25">
      <c r="B13" s="74" t="s">
        <v>240</v>
      </c>
      <c r="C13" s="80" t="s">
        <v>210</v>
      </c>
      <c r="D13" s="75"/>
    </row>
    <row r="14" spans="2:4" ht="40.200000000000003" customHeight="1" x14ac:dyDescent="0.25">
      <c r="B14" s="74" t="s">
        <v>242</v>
      </c>
      <c r="C14" s="80" t="s">
        <v>210</v>
      </c>
      <c r="D14" s="72"/>
    </row>
    <row r="15" spans="2:4" ht="40.200000000000003" customHeight="1" x14ac:dyDescent="0.25">
      <c r="B15" s="74" t="s">
        <v>241</v>
      </c>
      <c r="C15" s="80" t="s">
        <v>210</v>
      </c>
      <c r="D15" s="72"/>
    </row>
    <row r="16" spans="2:4" ht="40.200000000000003" customHeight="1" x14ac:dyDescent="0.25">
      <c r="B16" s="74" t="s">
        <v>243</v>
      </c>
      <c r="C16" s="80" t="s">
        <v>210</v>
      </c>
      <c r="D16" s="72"/>
    </row>
    <row r="17" spans="2:4" ht="40.200000000000003" customHeight="1" x14ac:dyDescent="0.25">
      <c r="B17" s="76" t="s">
        <v>244</v>
      </c>
      <c r="C17" s="80" t="s">
        <v>210</v>
      </c>
      <c r="D17" s="72"/>
    </row>
    <row r="18" spans="2:4" ht="40.200000000000003" customHeight="1" x14ac:dyDescent="0.25">
      <c r="B18" s="76" t="s">
        <v>245</v>
      </c>
      <c r="C18" s="80" t="s">
        <v>210</v>
      </c>
      <c r="D18" s="72"/>
    </row>
    <row r="19" spans="2:4" ht="13.8" thickBot="1" x14ac:dyDescent="0.3"/>
    <row r="20" spans="2:4" ht="13.8" thickBot="1" x14ac:dyDescent="0.3">
      <c r="B20" s="107" t="s">
        <v>249</v>
      </c>
      <c r="C20" s="124"/>
      <c r="D20" s="108"/>
    </row>
    <row r="21" spans="2:4" x14ac:dyDescent="0.25">
      <c r="B21" s="137"/>
      <c r="C21" s="138"/>
      <c r="D21" s="139"/>
    </row>
    <row r="22" spans="2:4" x14ac:dyDescent="0.25">
      <c r="B22" s="137"/>
      <c r="C22" s="138"/>
      <c r="D22" s="139"/>
    </row>
    <row r="23" spans="2:4" x14ac:dyDescent="0.25">
      <c r="B23" s="137"/>
      <c r="C23" s="138"/>
      <c r="D23" s="139"/>
    </row>
    <row r="24" spans="2:4" x14ac:dyDescent="0.25">
      <c r="B24" s="137"/>
      <c r="C24" s="138"/>
      <c r="D24" s="139"/>
    </row>
    <row r="25" spans="2:4" x14ac:dyDescent="0.25">
      <c r="B25" s="137"/>
      <c r="C25" s="138"/>
      <c r="D25" s="139"/>
    </row>
    <row r="26" spans="2:4" x14ac:dyDescent="0.25">
      <c r="B26" s="137"/>
      <c r="C26" s="138"/>
      <c r="D26" s="139"/>
    </row>
    <row r="27" spans="2:4" x14ac:dyDescent="0.25">
      <c r="B27" s="137"/>
      <c r="C27" s="138"/>
      <c r="D27" s="139"/>
    </row>
    <row r="28" spans="2:4" x14ac:dyDescent="0.25">
      <c r="B28" s="137"/>
      <c r="C28" s="138"/>
      <c r="D28" s="139"/>
    </row>
    <row r="29" spans="2:4" x14ac:dyDescent="0.25">
      <c r="B29" s="137"/>
      <c r="C29" s="138"/>
      <c r="D29" s="139"/>
    </row>
    <row r="30" spans="2:4" x14ac:dyDescent="0.25">
      <c r="B30" s="137"/>
      <c r="C30" s="138"/>
      <c r="D30" s="139"/>
    </row>
    <row r="31" spans="2:4" x14ac:dyDescent="0.25">
      <c r="B31" s="137"/>
      <c r="C31" s="138"/>
      <c r="D31" s="139"/>
    </row>
    <row r="32" spans="2:4" x14ac:dyDescent="0.25">
      <c r="B32" s="137"/>
      <c r="C32" s="138"/>
      <c r="D32" s="139"/>
    </row>
    <row r="33" spans="2:4" ht="13.8" thickBot="1" x14ac:dyDescent="0.3">
      <c r="B33" s="140"/>
      <c r="C33" s="141"/>
      <c r="D33" s="14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'IGAD Variations+Levels'!$G$20:$G$22</xm:f>
          </x14:formula1>
          <xm:sqref>C12:C18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30"/>
  <sheetViews>
    <sheetView topLeftCell="A2" workbookViewId="0">
      <selection activeCell="G34" sqref="G34"/>
    </sheetView>
  </sheetViews>
  <sheetFormatPr defaultRowHeight="13.2" x14ac:dyDescent="0.25"/>
  <cols>
    <col min="1" max="1" width="4" customWidth="1"/>
    <col min="2" max="2" width="60.109375" customWidth="1"/>
  </cols>
  <sheetData>
    <row r="1" spans="1:4" x14ac:dyDescent="0.25">
      <c r="A1" s="3"/>
      <c r="B1" s="3"/>
      <c r="C1" s="3"/>
    </row>
    <row r="2" spans="1:4" x14ac:dyDescent="0.25">
      <c r="A2" s="3"/>
      <c r="B2" s="12" t="s">
        <v>53</v>
      </c>
      <c r="C2" s="3"/>
    </row>
    <row r="3" spans="1:4" ht="15" customHeight="1" x14ac:dyDescent="0.25">
      <c r="A3" s="3"/>
      <c r="B3" s="1" t="s">
        <v>24</v>
      </c>
      <c r="C3" s="3"/>
    </row>
    <row r="4" spans="1:4" x14ac:dyDescent="0.25">
      <c r="A4" s="3"/>
      <c r="B4" s="13" t="s">
        <v>25</v>
      </c>
      <c r="C4" s="3"/>
      <c r="D4" s="1"/>
    </row>
    <row r="5" spans="1:4" x14ac:dyDescent="0.25">
      <c r="A5" s="3"/>
      <c r="B5" s="1" t="s">
        <v>26</v>
      </c>
      <c r="C5" s="3"/>
    </row>
    <row r="6" spans="1:4" x14ac:dyDescent="0.25">
      <c r="A6" s="3"/>
      <c r="B6" s="13" t="s">
        <v>27</v>
      </c>
      <c r="C6" s="3"/>
    </row>
    <row r="7" spans="1:4" x14ac:dyDescent="0.25">
      <c r="A7" s="3"/>
      <c r="B7" s="13" t="s">
        <v>28</v>
      </c>
      <c r="C7" s="3"/>
    </row>
    <row r="8" spans="1:4" x14ac:dyDescent="0.25">
      <c r="A8" s="3"/>
      <c r="B8" s="13" t="s">
        <v>29</v>
      </c>
      <c r="C8" s="3"/>
    </row>
    <row r="9" spans="1:4" x14ac:dyDescent="0.25">
      <c r="A9" s="3"/>
      <c r="B9" s="13" t="s">
        <v>30</v>
      </c>
      <c r="C9" s="3"/>
    </row>
    <row r="10" spans="1:4" x14ac:dyDescent="0.25">
      <c r="A10" s="3"/>
      <c r="B10" s="1" t="s">
        <v>31</v>
      </c>
      <c r="C10" s="3"/>
    </row>
    <row r="11" spans="1:4" x14ac:dyDescent="0.25">
      <c r="A11" s="3"/>
      <c r="B11" s="13" t="s">
        <v>32</v>
      </c>
      <c r="C11" s="3"/>
    </row>
    <row r="12" spans="1:4" x14ac:dyDescent="0.25">
      <c r="A12" s="3"/>
      <c r="B12" s="13" t="s">
        <v>33</v>
      </c>
    </row>
    <row r="13" spans="1:4" x14ac:dyDescent="0.25">
      <c r="B13" s="13" t="s">
        <v>34</v>
      </c>
    </row>
    <row r="14" spans="1:4" x14ac:dyDescent="0.25">
      <c r="B14" s="1" t="s">
        <v>35</v>
      </c>
    </row>
    <row r="15" spans="1:4" x14ac:dyDescent="0.25">
      <c r="B15" s="1" t="s">
        <v>36</v>
      </c>
    </row>
    <row r="16" spans="1:4" x14ac:dyDescent="0.25">
      <c r="B16" s="1" t="s">
        <v>37</v>
      </c>
    </row>
    <row r="17" spans="2:2" x14ac:dyDescent="0.25">
      <c r="B17" s="13" t="s">
        <v>38</v>
      </c>
    </row>
    <row r="18" spans="2:2" x14ac:dyDescent="0.25">
      <c r="B18" s="1" t="s">
        <v>39</v>
      </c>
    </row>
    <row r="19" spans="2:2" x14ac:dyDescent="0.25">
      <c r="B19" s="13" t="s">
        <v>40</v>
      </c>
    </row>
    <row r="20" spans="2:2" x14ac:dyDescent="0.25">
      <c r="B20" s="13" t="s">
        <v>41</v>
      </c>
    </row>
    <row r="21" spans="2:2" x14ac:dyDescent="0.25">
      <c r="B21" s="13" t="s">
        <v>42</v>
      </c>
    </row>
    <row r="22" spans="2:2" x14ac:dyDescent="0.25">
      <c r="B22" s="13" t="s">
        <v>43</v>
      </c>
    </row>
    <row r="23" spans="2:2" x14ac:dyDescent="0.25">
      <c r="B23" s="13" t="s">
        <v>44</v>
      </c>
    </row>
    <row r="24" spans="2:2" x14ac:dyDescent="0.25">
      <c r="B24" s="13" t="s">
        <v>45</v>
      </c>
    </row>
    <row r="25" spans="2:2" x14ac:dyDescent="0.25">
      <c r="B25" s="13" t="s">
        <v>46</v>
      </c>
    </row>
    <row r="26" spans="2:2" x14ac:dyDescent="0.25">
      <c r="B26" s="13" t="s">
        <v>47</v>
      </c>
    </row>
    <row r="27" spans="2:2" x14ac:dyDescent="0.25">
      <c r="B27" s="13" t="s">
        <v>48</v>
      </c>
    </row>
    <row r="28" spans="2:2" x14ac:dyDescent="0.25">
      <c r="B28" s="1" t="s">
        <v>49</v>
      </c>
    </row>
    <row r="29" spans="2:2" x14ac:dyDescent="0.25">
      <c r="B29" s="13" t="s">
        <v>210</v>
      </c>
    </row>
    <row r="30" spans="2:2" x14ac:dyDescent="0.25">
      <c r="B30" s="13"/>
    </row>
  </sheetData>
  <sheetProtection password="CA49" sheet="1" objects="1" scenarios="1"/>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32"/>
  <sheetViews>
    <sheetView topLeftCell="B1" workbookViewId="0">
      <selection activeCell="E1" sqref="E1"/>
    </sheetView>
  </sheetViews>
  <sheetFormatPr defaultRowHeight="13.2" x14ac:dyDescent="0.25"/>
  <cols>
    <col min="1" max="1" width="4" customWidth="1"/>
    <col min="2" max="2" width="60.109375" customWidth="1"/>
    <col min="5" max="5" width="37.44140625" customWidth="1"/>
    <col min="7" max="7" width="32.44140625" customWidth="1"/>
  </cols>
  <sheetData>
    <row r="1" spans="1:7" x14ac:dyDescent="0.25">
      <c r="A1" s="3"/>
      <c r="B1" s="3"/>
      <c r="C1" s="22"/>
      <c r="D1" s="22"/>
      <c r="E1" s="3"/>
      <c r="F1" s="22"/>
    </row>
    <row r="2" spans="1:7" x14ac:dyDescent="0.25">
      <c r="A2" s="3"/>
      <c r="B2" s="37" t="s">
        <v>17</v>
      </c>
      <c r="C2" s="22"/>
      <c r="D2" s="22"/>
      <c r="E2" s="37" t="s">
        <v>19</v>
      </c>
      <c r="F2" s="22"/>
      <c r="G2" s="37" t="s">
        <v>55</v>
      </c>
    </row>
    <row r="3" spans="1:7" ht="15" customHeight="1" x14ac:dyDescent="0.25">
      <c r="A3" s="3"/>
      <c r="B3" s="63" t="s">
        <v>50</v>
      </c>
      <c r="C3" s="22"/>
      <c r="D3" s="22"/>
      <c r="E3" s="63" t="s">
        <v>20</v>
      </c>
      <c r="F3" s="22"/>
      <c r="G3" s="49" t="s">
        <v>56</v>
      </c>
    </row>
    <row r="4" spans="1:7" x14ac:dyDescent="0.25">
      <c r="A4" s="3"/>
      <c r="B4" s="38" t="s">
        <v>18</v>
      </c>
      <c r="C4" s="22"/>
      <c r="D4" s="22"/>
      <c r="E4" s="39" t="s">
        <v>21</v>
      </c>
      <c r="F4" s="22"/>
      <c r="G4" s="47" t="s">
        <v>222</v>
      </c>
    </row>
    <row r="5" spans="1:7" x14ac:dyDescent="0.25">
      <c r="A5" s="3"/>
      <c r="B5" s="39" t="s">
        <v>51</v>
      </c>
      <c r="C5" s="22"/>
      <c r="D5" s="22"/>
      <c r="E5" s="39" t="s">
        <v>22</v>
      </c>
      <c r="F5" s="22"/>
      <c r="G5" s="40" t="s">
        <v>210</v>
      </c>
    </row>
    <row r="6" spans="1:7" x14ac:dyDescent="0.25">
      <c r="A6" s="3"/>
      <c r="B6" s="39" t="s">
        <v>52</v>
      </c>
      <c r="C6" s="22"/>
      <c r="D6" s="22"/>
      <c r="E6" s="39" t="s">
        <v>23</v>
      </c>
      <c r="F6" s="22"/>
      <c r="G6" s="18"/>
    </row>
    <row r="7" spans="1:7" x14ac:dyDescent="0.25">
      <c r="A7" s="3"/>
      <c r="B7" s="40" t="s">
        <v>210</v>
      </c>
      <c r="C7" s="22"/>
      <c r="D7" s="22"/>
      <c r="E7" s="40" t="s">
        <v>210</v>
      </c>
      <c r="F7" s="22"/>
    </row>
    <row r="8" spans="1:7" x14ac:dyDescent="0.25">
      <c r="A8" s="3"/>
      <c r="B8" s="62" t="s">
        <v>185</v>
      </c>
      <c r="C8" s="22"/>
      <c r="D8" s="22"/>
      <c r="E8" s="62" t="s">
        <v>195</v>
      </c>
      <c r="F8" s="22"/>
      <c r="G8" s="37" t="s">
        <v>204</v>
      </c>
    </row>
    <row r="9" spans="1:7" x14ac:dyDescent="0.25">
      <c r="A9" s="3"/>
      <c r="B9" s="61" t="s">
        <v>186</v>
      </c>
      <c r="C9" s="22"/>
      <c r="D9" s="22"/>
      <c r="E9" s="43">
        <v>0</v>
      </c>
      <c r="F9" s="22"/>
      <c r="G9" s="64">
        <v>1</v>
      </c>
    </row>
    <row r="10" spans="1:7" x14ac:dyDescent="0.25">
      <c r="A10" s="3"/>
      <c r="B10" s="41" t="s">
        <v>187</v>
      </c>
      <c r="C10" s="22"/>
      <c r="D10" s="22"/>
      <c r="E10" s="44">
        <v>0.05</v>
      </c>
      <c r="F10" s="22"/>
      <c r="G10" s="48">
        <v>2</v>
      </c>
    </row>
    <row r="11" spans="1:7" x14ac:dyDescent="0.25">
      <c r="A11" s="3"/>
      <c r="B11" s="41" t="s">
        <v>188</v>
      </c>
      <c r="C11" s="22"/>
      <c r="D11" s="22"/>
      <c r="E11" s="44">
        <v>0.1</v>
      </c>
      <c r="F11" s="22"/>
      <c r="G11" s="48">
        <v>3</v>
      </c>
    </row>
    <row r="12" spans="1:7" x14ac:dyDescent="0.25">
      <c r="A12" s="3"/>
      <c r="B12" s="41" t="s">
        <v>189</v>
      </c>
      <c r="C12" s="22"/>
      <c r="D12" s="22"/>
      <c r="E12" s="44">
        <v>0.15</v>
      </c>
      <c r="F12" s="22"/>
      <c r="G12" s="48">
        <v>4</v>
      </c>
    </row>
    <row r="13" spans="1:7" x14ac:dyDescent="0.25">
      <c r="B13" s="39" t="s">
        <v>190</v>
      </c>
      <c r="E13" s="45">
        <v>0.2</v>
      </c>
      <c r="G13" s="48">
        <v>5</v>
      </c>
    </row>
    <row r="14" spans="1:7" x14ac:dyDescent="0.25">
      <c r="B14" s="39" t="s">
        <v>191</v>
      </c>
      <c r="E14" s="45">
        <v>0.25</v>
      </c>
      <c r="G14" s="50" t="s">
        <v>210</v>
      </c>
    </row>
    <row r="15" spans="1:7" x14ac:dyDescent="0.25">
      <c r="B15" s="39" t="s">
        <v>213</v>
      </c>
      <c r="E15" s="45">
        <v>0.3</v>
      </c>
      <c r="G15" s="65" t="s">
        <v>205</v>
      </c>
    </row>
    <row r="16" spans="1:7" x14ac:dyDescent="0.25">
      <c r="B16" s="39" t="s">
        <v>214</v>
      </c>
      <c r="E16" s="45">
        <v>0.35</v>
      </c>
      <c r="G16" s="55"/>
    </row>
    <row r="17" spans="2:7" x14ac:dyDescent="0.25">
      <c r="B17" s="39" t="s">
        <v>193</v>
      </c>
      <c r="E17" s="45">
        <v>0.4</v>
      </c>
      <c r="G17" s="42" t="s">
        <v>206</v>
      </c>
    </row>
    <row r="18" spans="2:7" x14ac:dyDescent="0.25">
      <c r="B18" s="39" t="s">
        <v>215</v>
      </c>
      <c r="E18" s="45">
        <v>0.45</v>
      </c>
      <c r="G18" s="1"/>
    </row>
    <row r="19" spans="2:7" x14ac:dyDescent="0.25">
      <c r="B19" s="39" t="s">
        <v>192</v>
      </c>
      <c r="E19" s="45">
        <v>0.5</v>
      </c>
      <c r="G19" s="37" t="s">
        <v>207</v>
      </c>
    </row>
    <row r="20" spans="2:7" x14ac:dyDescent="0.25">
      <c r="B20" s="39" t="s">
        <v>194</v>
      </c>
      <c r="E20" s="45">
        <v>0.55000000000000004</v>
      </c>
      <c r="G20" s="49" t="s">
        <v>15</v>
      </c>
    </row>
    <row r="21" spans="2:7" ht="14.4" x14ac:dyDescent="0.3">
      <c r="B21" s="50" t="s">
        <v>210</v>
      </c>
      <c r="E21" s="45">
        <v>0.6</v>
      </c>
      <c r="G21" s="66" t="s">
        <v>208</v>
      </c>
    </row>
    <row r="22" spans="2:7" x14ac:dyDescent="0.25">
      <c r="B22" s="18"/>
      <c r="E22" s="45">
        <v>0.65</v>
      </c>
      <c r="G22" s="50" t="s">
        <v>210</v>
      </c>
    </row>
    <row r="23" spans="2:7" x14ac:dyDescent="0.25">
      <c r="E23" s="45">
        <v>0.7</v>
      </c>
    </row>
    <row r="24" spans="2:7" x14ac:dyDescent="0.25">
      <c r="E24" s="45">
        <v>0.75</v>
      </c>
    </row>
    <row r="25" spans="2:7" x14ac:dyDescent="0.25">
      <c r="E25" s="45">
        <v>0.8</v>
      </c>
    </row>
    <row r="26" spans="2:7" x14ac:dyDescent="0.25">
      <c r="E26" s="45">
        <v>0.85</v>
      </c>
    </row>
    <row r="27" spans="2:7" x14ac:dyDescent="0.25">
      <c r="E27" s="45">
        <v>0.9</v>
      </c>
    </row>
    <row r="28" spans="2:7" x14ac:dyDescent="0.25">
      <c r="E28" s="45">
        <v>0.95</v>
      </c>
    </row>
    <row r="29" spans="2:7" x14ac:dyDescent="0.25">
      <c r="E29" s="46">
        <v>1</v>
      </c>
    </row>
    <row r="30" spans="2:7" x14ac:dyDescent="0.25">
      <c r="E30" s="34"/>
    </row>
    <row r="31" spans="2:7" x14ac:dyDescent="0.25">
      <c r="E31" s="34"/>
    </row>
    <row r="32" spans="2:7" x14ac:dyDescent="0.25">
      <c r="E32" s="3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E133"/>
  <sheetViews>
    <sheetView workbookViewId="0">
      <selection activeCell="C126" sqref="C126"/>
    </sheetView>
  </sheetViews>
  <sheetFormatPr defaultRowHeight="13.2" x14ac:dyDescent="0.25"/>
  <cols>
    <col min="2" max="2" width="53.6640625" customWidth="1"/>
    <col min="3" max="3" width="43" customWidth="1"/>
  </cols>
  <sheetData>
    <row r="1" spans="2:5" x14ac:dyDescent="0.25">
      <c r="C1" s="22"/>
      <c r="D1" s="22"/>
      <c r="E1" s="22"/>
    </row>
    <row r="2" spans="2:5" x14ac:dyDescent="0.25">
      <c r="B2" s="25" t="s">
        <v>54</v>
      </c>
      <c r="C2" s="25" t="s">
        <v>204</v>
      </c>
      <c r="D2" s="22"/>
      <c r="E2" s="22"/>
    </row>
    <row r="3" spans="2:5" x14ac:dyDescent="0.25">
      <c r="B3" s="26" t="s">
        <v>108</v>
      </c>
      <c r="C3" s="96">
        <v>3</v>
      </c>
      <c r="D3" s="22"/>
      <c r="E3" s="22"/>
    </row>
    <row r="4" spans="2:5" x14ac:dyDescent="0.25">
      <c r="B4" s="26" t="s">
        <v>109</v>
      </c>
      <c r="C4" s="93">
        <v>3</v>
      </c>
      <c r="D4" s="22"/>
      <c r="E4" s="22"/>
    </row>
    <row r="5" spans="2:5" x14ac:dyDescent="0.25">
      <c r="B5" s="26" t="s">
        <v>110</v>
      </c>
      <c r="C5" s="94">
        <v>3</v>
      </c>
      <c r="D5" s="22"/>
      <c r="E5" s="22"/>
    </row>
    <row r="6" spans="2:5" x14ac:dyDescent="0.25">
      <c r="B6" s="26" t="s">
        <v>85</v>
      </c>
      <c r="C6" s="93">
        <v>2</v>
      </c>
      <c r="D6" s="22"/>
      <c r="E6" s="22"/>
    </row>
    <row r="7" spans="2:5" x14ac:dyDescent="0.25">
      <c r="B7" s="26" t="s">
        <v>101</v>
      </c>
      <c r="C7" s="93">
        <v>2</v>
      </c>
      <c r="D7" s="22"/>
      <c r="E7" s="22"/>
    </row>
    <row r="8" spans="2:5" x14ac:dyDescent="0.25">
      <c r="B8" s="26" t="s">
        <v>66</v>
      </c>
      <c r="C8" s="94">
        <v>2</v>
      </c>
      <c r="D8" s="22"/>
      <c r="E8" s="22"/>
    </row>
    <row r="9" spans="2:5" x14ac:dyDescent="0.25">
      <c r="B9" s="26" t="s">
        <v>83</v>
      </c>
      <c r="C9" s="93">
        <v>3</v>
      </c>
      <c r="D9" s="22"/>
      <c r="E9" s="22"/>
    </row>
    <row r="10" spans="2:5" x14ac:dyDescent="0.25">
      <c r="B10" s="26" t="s">
        <v>95</v>
      </c>
      <c r="C10" s="93">
        <v>3</v>
      </c>
      <c r="D10" s="22"/>
      <c r="E10" s="22"/>
    </row>
    <row r="11" spans="2:5" x14ac:dyDescent="0.25">
      <c r="B11" s="26" t="s">
        <v>84</v>
      </c>
      <c r="C11" s="93">
        <v>3</v>
      </c>
      <c r="D11" s="22"/>
      <c r="E11" s="22"/>
    </row>
    <row r="12" spans="2:5" x14ac:dyDescent="0.25">
      <c r="B12" s="26" t="s">
        <v>96</v>
      </c>
      <c r="C12" s="93">
        <v>3</v>
      </c>
      <c r="D12" s="22"/>
      <c r="E12" s="22"/>
    </row>
    <row r="13" spans="2:5" x14ac:dyDescent="0.25">
      <c r="B13" s="26" t="s">
        <v>99</v>
      </c>
      <c r="C13" s="93">
        <v>3</v>
      </c>
      <c r="D13" s="22"/>
      <c r="E13" s="22"/>
    </row>
    <row r="14" spans="2:5" x14ac:dyDescent="0.25">
      <c r="B14" s="26" t="s">
        <v>100</v>
      </c>
      <c r="C14" s="93">
        <v>3</v>
      </c>
      <c r="D14" s="22"/>
      <c r="E14" s="22"/>
    </row>
    <row r="15" spans="2:5" x14ac:dyDescent="0.25">
      <c r="B15" s="26" t="s">
        <v>92</v>
      </c>
      <c r="C15" s="93">
        <v>3</v>
      </c>
      <c r="D15" s="22"/>
      <c r="E15" s="22"/>
    </row>
    <row r="16" spans="2:5" x14ac:dyDescent="0.25">
      <c r="B16" s="26" t="s">
        <v>93</v>
      </c>
      <c r="C16" s="93">
        <v>3</v>
      </c>
      <c r="D16" s="22"/>
      <c r="E16" s="22"/>
    </row>
    <row r="17" spans="2:5" x14ac:dyDescent="0.25">
      <c r="B17" s="26" t="s">
        <v>105</v>
      </c>
      <c r="C17" s="93">
        <v>4</v>
      </c>
      <c r="D17" s="22"/>
      <c r="E17" s="22"/>
    </row>
    <row r="18" spans="2:5" x14ac:dyDescent="0.25">
      <c r="B18" s="26" t="s">
        <v>106</v>
      </c>
      <c r="C18" s="93">
        <v>4</v>
      </c>
      <c r="D18" s="22"/>
      <c r="E18" s="22"/>
    </row>
    <row r="19" spans="2:5" x14ac:dyDescent="0.25">
      <c r="B19" s="26" t="s">
        <v>61</v>
      </c>
      <c r="C19" s="93">
        <v>2</v>
      </c>
      <c r="D19" s="22"/>
      <c r="E19" s="22"/>
    </row>
    <row r="20" spans="2:5" x14ac:dyDescent="0.25">
      <c r="B20" s="26" t="s">
        <v>67</v>
      </c>
      <c r="C20" s="93">
        <v>3</v>
      </c>
      <c r="D20" s="22"/>
      <c r="E20" s="22"/>
    </row>
    <row r="21" spans="2:5" x14ac:dyDescent="0.25">
      <c r="B21" s="26" t="s">
        <v>91</v>
      </c>
      <c r="C21" s="93">
        <v>3</v>
      </c>
      <c r="D21" s="22"/>
      <c r="E21" s="22"/>
    </row>
    <row r="22" spans="2:5" x14ac:dyDescent="0.25">
      <c r="B22" s="26" t="s">
        <v>57</v>
      </c>
      <c r="C22" s="93">
        <v>4</v>
      </c>
      <c r="D22" s="22"/>
      <c r="E22" s="22"/>
    </row>
    <row r="23" spans="2:5" x14ac:dyDescent="0.25">
      <c r="B23" s="26" t="s">
        <v>58</v>
      </c>
      <c r="C23" s="93">
        <v>4</v>
      </c>
      <c r="D23" s="22"/>
      <c r="E23" s="22"/>
    </row>
    <row r="24" spans="2:5" x14ac:dyDescent="0.25">
      <c r="B24" s="26" t="s">
        <v>62</v>
      </c>
      <c r="C24" s="93">
        <v>2</v>
      </c>
      <c r="D24" s="22"/>
      <c r="E24" s="22"/>
    </row>
    <row r="25" spans="2:5" x14ac:dyDescent="0.25">
      <c r="B25" s="26" t="s">
        <v>63</v>
      </c>
      <c r="C25" s="93">
        <v>2</v>
      </c>
      <c r="D25" s="22"/>
      <c r="E25" s="22"/>
    </row>
    <row r="26" spans="2:5" x14ac:dyDescent="0.25">
      <c r="B26" s="26" t="s">
        <v>94</v>
      </c>
      <c r="C26" s="93">
        <v>2</v>
      </c>
      <c r="D26" s="22"/>
      <c r="E26" s="22"/>
    </row>
    <row r="27" spans="2:5" x14ac:dyDescent="0.25">
      <c r="B27" s="26" t="s">
        <v>82</v>
      </c>
      <c r="C27" s="93">
        <v>2</v>
      </c>
      <c r="D27" s="22"/>
      <c r="E27" s="22"/>
    </row>
    <row r="28" spans="2:5" x14ac:dyDescent="0.25">
      <c r="B28" s="26" t="s">
        <v>59</v>
      </c>
      <c r="C28" s="93">
        <v>2</v>
      </c>
      <c r="D28" s="22"/>
      <c r="E28" s="22"/>
    </row>
    <row r="29" spans="2:5" x14ac:dyDescent="0.25">
      <c r="B29" s="26" t="s">
        <v>60</v>
      </c>
      <c r="C29" s="93">
        <v>2</v>
      </c>
      <c r="D29" s="22"/>
      <c r="E29" s="22"/>
    </row>
    <row r="30" spans="2:5" x14ac:dyDescent="0.25">
      <c r="B30" s="26" t="s">
        <v>102</v>
      </c>
      <c r="C30" s="93">
        <v>2</v>
      </c>
      <c r="D30" s="22"/>
      <c r="E30" s="22"/>
    </row>
    <row r="31" spans="2:5" x14ac:dyDescent="0.25">
      <c r="B31" s="26" t="s">
        <v>97</v>
      </c>
      <c r="C31" s="93">
        <v>3</v>
      </c>
      <c r="D31" s="22"/>
      <c r="E31" s="22"/>
    </row>
    <row r="32" spans="2:5" x14ac:dyDescent="0.25">
      <c r="B32" s="26" t="s">
        <v>98</v>
      </c>
      <c r="C32" s="93">
        <v>3</v>
      </c>
      <c r="D32" s="22"/>
      <c r="E32" s="22"/>
    </row>
    <row r="33" spans="2:5" x14ac:dyDescent="0.25">
      <c r="B33" s="26" t="s">
        <v>69</v>
      </c>
      <c r="C33" s="93">
        <v>3</v>
      </c>
      <c r="D33" s="22"/>
      <c r="E33" s="22"/>
    </row>
    <row r="34" spans="2:5" x14ac:dyDescent="0.25">
      <c r="B34" s="26" t="s">
        <v>70</v>
      </c>
      <c r="C34" s="93">
        <v>3</v>
      </c>
      <c r="D34" s="22"/>
      <c r="E34" s="22"/>
    </row>
    <row r="35" spans="2:5" x14ac:dyDescent="0.25">
      <c r="B35" s="26" t="s">
        <v>71</v>
      </c>
      <c r="C35" s="93">
        <v>3</v>
      </c>
      <c r="D35" s="22"/>
      <c r="E35" s="22"/>
    </row>
    <row r="36" spans="2:5" x14ac:dyDescent="0.25">
      <c r="B36" s="26" t="s">
        <v>72</v>
      </c>
      <c r="C36" s="93">
        <v>3</v>
      </c>
      <c r="D36" s="22"/>
      <c r="E36" s="22"/>
    </row>
    <row r="37" spans="2:5" x14ac:dyDescent="0.25">
      <c r="B37" s="26" t="s">
        <v>73</v>
      </c>
      <c r="C37" s="93">
        <v>3</v>
      </c>
      <c r="D37" s="22"/>
      <c r="E37" s="22"/>
    </row>
    <row r="38" spans="2:5" x14ac:dyDescent="0.25">
      <c r="B38" s="26" t="s">
        <v>74</v>
      </c>
      <c r="C38" s="93">
        <v>3</v>
      </c>
      <c r="D38" s="22"/>
      <c r="E38" s="22"/>
    </row>
    <row r="39" spans="2:5" x14ac:dyDescent="0.25">
      <c r="B39" s="26" t="s">
        <v>103</v>
      </c>
      <c r="C39" s="93">
        <v>5</v>
      </c>
      <c r="D39" s="22"/>
      <c r="E39" s="22"/>
    </row>
    <row r="40" spans="2:5" x14ac:dyDescent="0.25">
      <c r="B40" s="26" t="s">
        <v>104</v>
      </c>
      <c r="C40" s="93">
        <v>5</v>
      </c>
      <c r="D40" s="22"/>
      <c r="E40" s="22"/>
    </row>
    <row r="41" spans="2:5" x14ac:dyDescent="0.25">
      <c r="B41" s="26" t="s">
        <v>86</v>
      </c>
      <c r="C41" s="93">
        <v>3</v>
      </c>
      <c r="D41" s="22"/>
      <c r="E41" s="22"/>
    </row>
    <row r="42" spans="2:5" x14ac:dyDescent="0.25">
      <c r="B42" s="26" t="s">
        <v>90</v>
      </c>
      <c r="C42" s="93">
        <v>2</v>
      </c>
      <c r="D42" s="22"/>
      <c r="E42" s="22"/>
    </row>
    <row r="43" spans="2:5" x14ac:dyDescent="0.25">
      <c r="B43" s="26" t="s">
        <v>75</v>
      </c>
      <c r="C43" s="93">
        <v>3</v>
      </c>
      <c r="D43" s="22"/>
      <c r="E43" s="22"/>
    </row>
    <row r="44" spans="2:5" x14ac:dyDescent="0.25">
      <c r="B44" s="26" t="s">
        <v>76</v>
      </c>
      <c r="C44" s="94">
        <v>3</v>
      </c>
      <c r="D44" s="22"/>
      <c r="E44" s="22"/>
    </row>
    <row r="45" spans="2:5" x14ac:dyDescent="0.25">
      <c r="B45" s="26" t="s">
        <v>77</v>
      </c>
      <c r="C45" s="93">
        <v>3</v>
      </c>
      <c r="D45" s="22"/>
      <c r="E45" s="22"/>
    </row>
    <row r="46" spans="2:5" x14ac:dyDescent="0.25">
      <c r="B46" s="26" t="s">
        <v>78</v>
      </c>
      <c r="C46" s="93">
        <v>3</v>
      </c>
      <c r="D46" s="22"/>
      <c r="E46" s="22"/>
    </row>
    <row r="47" spans="2:5" x14ac:dyDescent="0.25">
      <c r="B47" s="26" t="s">
        <v>111</v>
      </c>
      <c r="C47" s="94">
        <v>3</v>
      </c>
      <c r="D47" s="22"/>
      <c r="E47" s="22"/>
    </row>
    <row r="48" spans="2:5" x14ac:dyDescent="0.25">
      <c r="B48" s="26" t="s">
        <v>68</v>
      </c>
      <c r="C48" s="93">
        <v>3</v>
      </c>
      <c r="D48" s="22"/>
      <c r="E48" s="22"/>
    </row>
    <row r="49" spans="2:5" x14ac:dyDescent="0.25">
      <c r="B49" s="26" t="s">
        <v>64</v>
      </c>
      <c r="C49" s="93">
        <v>2</v>
      </c>
      <c r="D49" s="22"/>
      <c r="E49" s="22"/>
    </row>
    <row r="50" spans="2:5" x14ac:dyDescent="0.25">
      <c r="B50" s="26" t="s">
        <v>87</v>
      </c>
      <c r="C50" s="93">
        <v>3</v>
      </c>
      <c r="D50" s="22"/>
      <c r="E50" s="22"/>
    </row>
    <row r="51" spans="2:5" x14ac:dyDescent="0.25">
      <c r="B51" s="26" t="s">
        <v>107</v>
      </c>
      <c r="C51" s="93">
        <v>3</v>
      </c>
      <c r="D51" s="22"/>
      <c r="E51" s="22"/>
    </row>
    <row r="52" spans="2:5" x14ac:dyDescent="0.25">
      <c r="B52" s="26" t="s">
        <v>88</v>
      </c>
      <c r="C52" s="93">
        <v>3</v>
      </c>
      <c r="D52" s="22"/>
      <c r="E52" s="22"/>
    </row>
    <row r="53" spans="2:5" x14ac:dyDescent="0.25">
      <c r="B53" s="26" t="s">
        <v>89</v>
      </c>
      <c r="C53" s="93">
        <v>3</v>
      </c>
      <c r="D53" s="22"/>
      <c r="E53" s="22"/>
    </row>
    <row r="54" spans="2:5" x14ac:dyDescent="0.25">
      <c r="B54" s="26" t="s">
        <v>65</v>
      </c>
      <c r="C54" s="93">
        <v>2</v>
      </c>
      <c r="D54" s="22"/>
      <c r="E54" s="22"/>
    </row>
    <row r="55" spans="2:5" x14ac:dyDescent="0.25">
      <c r="B55" s="27" t="s">
        <v>153</v>
      </c>
      <c r="C55" s="93">
        <v>4</v>
      </c>
      <c r="D55" s="22"/>
      <c r="E55" s="22"/>
    </row>
    <row r="56" spans="2:5" x14ac:dyDescent="0.25">
      <c r="B56" s="27" t="s">
        <v>147</v>
      </c>
      <c r="C56" s="93">
        <v>4</v>
      </c>
      <c r="D56" s="22"/>
      <c r="E56" s="22"/>
    </row>
    <row r="57" spans="2:5" x14ac:dyDescent="0.25">
      <c r="B57" s="27" t="s">
        <v>148</v>
      </c>
      <c r="C57" s="93">
        <v>4</v>
      </c>
      <c r="D57" s="22"/>
      <c r="E57" s="22"/>
    </row>
    <row r="58" spans="2:5" x14ac:dyDescent="0.25">
      <c r="B58" s="27" t="s">
        <v>144</v>
      </c>
      <c r="C58" s="93">
        <v>4</v>
      </c>
      <c r="D58" s="22"/>
      <c r="E58" s="22"/>
    </row>
    <row r="59" spans="2:5" x14ac:dyDescent="0.25">
      <c r="B59" s="27" t="s">
        <v>173</v>
      </c>
      <c r="C59" s="93">
        <v>4</v>
      </c>
      <c r="D59" s="22"/>
      <c r="E59" s="22"/>
    </row>
    <row r="60" spans="2:5" x14ac:dyDescent="0.25">
      <c r="B60" s="27" t="s">
        <v>174</v>
      </c>
      <c r="C60" s="93">
        <v>4</v>
      </c>
      <c r="D60" s="22"/>
      <c r="E60" s="22"/>
    </row>
    <row r="61" spans="2:5" x14ac:dyDescent="0.25">
      <c r="B61" s="27" t="s">
        <v>162</v>
      </c>
      <c r="C61" s="93">
        <v>4</v>
      </c>
      <c r="D61" s="22"/>
      <c r="E61" s="22"/>
    </row>
    <row r="62" spans="2:5" x14ac:dyDescent="0.25">
      <c r="B62" s="27" t="s">
        <v>163</v>
      </c>
      <c r="C62" s="93">
        <v>4</v>
      </c>
      <c r="D62" s="22"/>
      <c r="E62" s="22"/>
    </row>
    <row r="63" spans="2:5" x14ac:dyDescent="0.25">
      <c r="B63" s="27" t="s">
        <v>79</v>
      </c>
      <c r="C63" s="93">
        <v>6</v>
      </c>
      <c r="D63" s="22"/>
      <c r="E63" s="22"/>
    </row>
    <row r="64" spans="2:5" x14ac:dyDescent="0.25">
      <c r="B64" s="27" t="s">
        <v>80</v>
      </c>
      <c r="C64" s="93">
        <v>6</v>
      </c>
      <c r="D64" s="22"/>
      <c r="E64" s="22"/>
    </row>
    <row r="65" spans="2:5" x14ac:dyDescent="0.25">
      <c r="B65" s="27" t="s">
        <v>120</v>
      </c>
      <c r="C65" s="93">
        <v>4</v>
      </c>
      <c r="D65" s="22"/>
      <c r="E65" s="22"/>
    </row>
    <row r="66" spans="2:5" x14ac:dyDescent="0.25">
      <c r="B66" s="27" t="s">
        <v>121</v>
      </c>
      <c r="C66" s="93">
        <v>4</v>
      </c>
      <c r="D66" s="22"/>
      <c r="E66" s="22"/>
    </row>
    <row r="67" spans="2:5" x14ac:dyDescent="0.25">
      <c r="B67" s="27" t="s">
        <v>122</v>
      </c>
      <c r="C67" s="93">
        <v>4</v>
      </c>
      <c r="D67" s="22"/>
      <c r="E67" s="22"/>
    </row>
    <row r="68" spans="2:5" x14ac:dyDescent="0.25">
      <c r="B68" s="27" t="s">
        <v>123</v>
      </c>
      <c r="C68" s="93">
        <v>4</v>
      </c>
      <c r="D68" s="22"/>
      <c r="E68" s="22"/>
    </row>
    <row r="69" spans="2:5" x14ac:dyDescent="0.25">
      <c r="B69" s="27" t="s">
        <v>116</v>
      </c>
      <c r="C69" s="93">
        <v>4</v>
      </c>
      <c r="D69" s="22"/>
      <c r="E69" s="22"/>
    </row>
    <row r="70" spans="2:5" x14ac:dyDescent="0.25">
      <c r="B70" s="27" t="s">
        <v>117</v>
      </c>
      <c r="C70" s="93">
        <v>4</v>
      </c>
      <c r="D70" s="22"/>
      <c r="E70" s="22"/>
    </row>
    <row r="71" spans="2:5" x14ac:dyDescent="0.25">
      <c r="B71" s="27" t="s">
        <v>118</v>
      </c>
      <c r="C71" s="93">
        <v>4</v>
      </c>
      <c r="D71" s="22"/>
      <c r="E71" s="22"/>
    </row>
    <row r="72" spans="2:5" x14ac:dyDescent="0.25">
      <c r="B72" s="27" t="s">
        <v>119</v>
      </c>
      <c r="C72" s="93">
        <v>4</v>
      </c>
      <c r="D72" s="22"/>
      <c r="E72" s="22"/>
    </row>
    <row r="73" spans="2:5" x14ac:dyDescent="0.25">
      <c r="B73" s="27" t="s">
        <v>112</v>
      </c>
      <c r="C73" s="93">
        <v>4</v>
      </c>
      <c r="D73" s="22"/>
      <c r="E73" s="22"/>
    </row>
    <row r="74" spans="2:5" x14ac:dyDescent="0.25">
      <c r="B74" s="30" t="s">
        <v>113</v>
      </c>
      <c r="C74" s="93">
        <v>4</v>
      </c>
      <c r="D74" s="22"/>
      <c r="E74" s="22"/>
    </row>
    <row r="75" spans="2:5" x14ac:dyDescent="0.25">
      <c r="B75" s="27" t="s">
        <v>114</v>
      </c>
      <c r="C75" s="93">
        <v>4</v>
      </c>
      <c r="D75" s="22"/>
      <c r="E75" s="22"/>
    </row>
    <row r="76" spans="2:5" x14ac:dyDescent="0.25">
      <c r="B76" s="27" t="s">
        <v>115</v>
      </c>
      <c r="C76" s="93">
        <v>4</v>
      </c>
      <c r="D76" s="22"/>
      <c r="E76" s="22"/>
    </row>
    <row r="77" spans="2:5" x14ac:dyDescent="0.25">
      <c r="B77" s="27" t="s">
        <v>159</v>
      </c>
      <c r="C77" s="93">
        <v>4</v>
      </c>
      <c r="D77" s="22"/>
      <c r="E77" s="22"/>
    </row>
    <row r="78" spans="2:5" x14ac:dyDescent="0.25">
      <c r="B78" s="27" t="s">
        <v>160</v>
      </c>
      <c r="C78" s="93">
        <v>4</v>
      </c>
      <c r="D78" s="22"/>
      <c r="E78" s="22"/>
    </row>
    <row r="79" spans="2:5" x14ac:dyDescent="0.25">
      <c r="B79" s="27" t="s">
        <v>161</v>
      </c>
      <c r="C79" s="93">
        <v>4</v>
      </c>
      <c r="D79" s="22"/>
      <c r="E79" s="22"/>
    </row>
    <row r="80" spans="2:5" x14ac:dyDescent="0.25">
      <c r="B80" s="27" t="s">
        <v>179</v>
      </c>
      <c r="C80" s="93">
        <v>4</v>
      </c>
      <c r="D80" s="22"/>
      <c r="E80" s="22"/>
    </row>
    <row r="81" spans="2:5" x14ac:dyDescent="0.25">
      <c r="B81" s="27" t="s">
        <v>151</v>
      </c>
      <c r="C81" s="93">
        <v>4</v>
      </c>
      <c r="D81" s="22"/>
      <c r="E81" s="22"/>
    </row>
    <row r="82" spans="2:5" x14ac:dyDescent="0.25">
      <c r="B82" s="27" t="s">
        <v>152</v>
      </c>
      <c r="C82" s="93">
        <v>4</v>
      </c>
      <c r="D82" s="22"/>
      <c r="E82" s="22"/>
    </row>
    <row r="83" spans="2:5" x14ac:dyDescent="0.25">
      <c r="B83" s="27" t="s">
        <v>166</v>
      </c>
      <c r="C83" s="93">
        <v>4</v>
      </c>
    </row>
    <row r="84" spans="2:5" x14ac:dyDescent="0.25">
      <c r="B84" s="27" t="s">
        <v>167</v>
      </c>
      <c r="C84" s="93">
        <v>4</v>
      </c>
    </row>
    <row r="85" spans="2:5" x14ac:dyDescent="0.25">
      <c r="B85" s="27" t="s">
        <v>81</v>
      </c>
      <c r="C85" s="93">
        <v>4</v>
      </c>
    </row>
    <row r="86" spans="2:5" x14ac:dyDescent="0.25">
      <c r="B86" s="27" t="s">
        <v>170</v>
      </c>
      <c r="C86" s="93">
        <v>4</v>
      </c>
    </row>
    <row r="87" spans="2:5" x14ac:dyDescent="0.25">
      <c r="B87" s="27" t="s">
        <v>175</v>
      </c>
      <c r="C87" s="93">
        <v>4</v>
      </c>
    </row>
    <row r="88" spans="2:5" x14ac:dyDescent="0.25">
      <c r="B88" s="27" t="s">
        <v>176</v>
      </c>
      <c r="C88" s="93">
        <v>4</v>
      </c>
    </row>
    <row r="89" spans="2:5" x14ac:dyDescent="0.25">
      <c r="B89" s="27" t="s">
        <v>177</v>
      </c>
      <c r="C89" s="93">
        <v>4</v>
      </c>
    </row>
    <row r="90" spans="2:5" x14ac:dyDescent="0.25">
      <c r="B90" s="27" t="s">
        <v>178</v>
      </c>
      <c r="C90" s="93">
        <v>4</v>
      </c>
    </row>
    <row r="91" spans="2:5" x14ac:dyDescent="0.25">
      <c r="B91" s="27" t="s">
        <v>154</v>
      </c>
      <c r="C91" s="93">
        <v>4</v>
      </c>
    </row>
    <row r="92" spans="2:5" x14ac:dyDescent="0.25">
      <c r="B92" s="27" t="s">
        <v>145</v>
      </c>
      <c r="C92" s="93">
        <v>4</v>
      </c>
    </row>
    <row r="93" spans="2:5" x14ac:dyDescent="0.25">
      <c r="B93" s="27" t="s">
        <v>164</v>
      </c>
      <c r="C93" s="93">
        <v>4</v>
      </c>
    </row>
    <row r="94" spans="2:5" x14ac:dyDescent="0.25">
      <c r="B94" s="27" t="s">
        <v>165</v>
      </c>
      <c r="C94" s="93">
        <v>4</v>
      </c>
    </row>
    <row r="95" spans="2:5" x14ac:dyDescent="0.25">
      <c r="B95" s="27" t="s">
        <v>146</v>
      </c>
      <c r="C95" s="93">
        <v>4</v>
      </c>
    </row>
    <row r="96" spans="2:5" x14ac:dyDescent="0.25">
      <c r="B96" s="27" t="s">
        <v>149</v>
      </c>
      <c r="C96" s="93">
        <v>4</v>
      </c>
    </row>
    <row r="97" spans="2:3" x14ac:dyDescent="0.25">
      <c r="B97" s="27" t="s">
        <v>150</v>
      </c>
      <c r="C97" s="93">
        <v>4</v>
      </c>
    </row>
    <row r="98" spans="2:3" x14ac:dyDescent="0.25">
      <c r="B98" s="27" t="s">
        <v>168</v>
      </c>
      <c r="C98" s="93">
        <v>4</v>
      </c>
    </row>
    <row r="99" spans="2:3" x14ac:dyDescent="0.25">
      <c r="B99" s="27" t="s">
        <v>169</v>
      </c>
      <c r="C99" s="93">
        <v>4</v>
      </c>
    </row>
    <row r="100" spans="2:3" x14ac:dyDescent="0.25">
      <c r="B100" s="28" t="s">
        <v>171</v>
      </c>
      <c r="C100" s="93">
        <v>5</v>
      </c>
    </row>
    <row r="101" spans="2:3" x14ac:dyDescent="0.25">
      <c r="B101" s="28" t="s">
        <v>224</v>
      </c>
      <c r="C101" s="93">
        <v>5</v>
      </c>
    </row>
    <row r="102" spans="2:3" x14ac:dyDescent="0.25">
      <c r="B102" s="28" t="s">
        <v>180</v>
      </c>
      <c r="C102" s="93">
        <v>5</v>
      </c>
    </row>
    <row r="103" spans="2:3" x14ac:dyDescent="0.25">
      <c r="B103" s="28" t="s">
        <v>181</v>
      </c>
      <c r="C103" s="93">
        <v>5</v>
      </c>
    </row>
    <row r="104" spans="2:3" x14ac:dyDescent="0.25">
      <c r="B104" s="28" t="s">
        <v>182</v>
      </c>
      <c r="C104" s="93">
        <v>5</v>
      </c>
    </row>
    <row r="105" spans="2:3" x14ac:dyDescent="0.25">
      <c r="B105" s="28" t="s">
        <v>183</v>
      </c>
      <c r="C105" s="93">
        <v>5</v>
      </c>
    </row>
    <row r="106" spans="2:3" x14ac:dyDescent="0.25">
      <c r="B106" s="28" t="s">
        <v>184</v>
      </c>
      <c r="C106" s="93">
        <v>5</v>
      </c>
    </row>
    <row r="107" spans="2:3" x14ac:dyDescent="0.25">
      <c r="B107" s="28" t="s">
        <v>129</v>
      </c>
      <c r="C107" s="93">
        <v>5</v>
      </c>
    </row>
    <row r="108" spans="2:3" x14ac:dyDescent="0.25">
      <c r="B108" s="31" t="s">
        <v>130</v>
      </c>
      <c r="C108" s="93">
        <v>5</v>
      </c>
    </row>
    <row r="109" spans="2:3" x14ac:dyDescent="0.25">
      <c r="B109" s="28" t="s">
        <v>131</v>
      </c>
      <c r="C109" s="93">
        <v>5</v>
      </c>
    </row>
    <row r="110" spans="2:3" x14ac:dyDescent="0.25">
      <c r="B110" s="28" t="s">
        <v>132</v>
      </c>
      <c r="C110" s="93">
        <v>5</v>
      </c>
    </row>
    <row r="111" spans="2:3" x14ac:dyDescent="0.25">
      <c r="B111" s="28" t="s">
        <v>133</v>
      </c>
      <c r="C111" s="93">
        <v>5</v>
      </c>
    </row>
    <row r="112" spans="2:3" x14ac:dyDescent="0.25">
      <c r="B112" s="28" t="s">
        <v>172</v>
      </c>
      <c r="C112" s="93">
        <v>5</v>
      </c>
    </row>
    <row r="113" spans="2:3" x14ac:dyDescent="0.25">
      <c r="B113" s="28" t="s">
        <v>155</v>
      </c>
      <c r="C113" s="93">
        <v>5</v>
      </c>
    </row>
    <row r="114" spans="2:3" x14ac:dyDescent="0.25">
      <c r="B114" s="28" t="s">
        <v>156</v>
      </c>
      <c r="C114" s="93">
        <v>5</v>
      </c>
    </row>
    <row r="115" spans="2:3" x14ac:dyDescent="0.25">
      <c r="B115" s="28" t="s">
        <v>225</v>
      </c>
      <c r="C115" s="93">
        <v>5</v>
      </c>
    </row>
    <row r="116" spans="2:3" x14ac:dyDescent="0.25">
      <c r="B116" s="28" t="s">
        <v>157</v>
      </c>
      <c r="C116" s="93">
        <v>5</v>
      </c>
    </row>
    <row r="117" spans="2:3" x14ac:dyDescent="0.25">
      <c r="B117" s="28" t="s">
        <v>158</v>
      </c>
      <c r="C117" s="93">
        <v>5</v>
      </c>
    </row>
    <row r="118" spans="2:3" x14ac:dyDescent="0.25">
      <c r="B118" s="28" t="s">
        <v>125</v>
      </c>
      <c r="C118" s="93">
        <v>2</v>
      </c>
    </row>
    <row r="119" spans="2:3" x14ac:dyDescent="0.25">
      <c r="B119" s="28" t="s">
        <v>124</v>
      </c>
      <c r="C119" s="94">
        <v>6</v>
      </c>
    </row>
    <row r="120" spans="2:3" x14ac:dyDescent="0.25">
      <c r="B120" s="28" t="s">
        <v>127</v>
      </c>
      <c r="C120" s="93">
        <v>2</v>
      </c>
    </row>
    <row r="121" spans="2:3" x14ac:dyDescent="0.25">
      <c r="B121" s="28" t="s">
        <v>134</v>
      </c>
      <c r="C121" s="94">
        <v>21</v>
      </c>
    </row>
    <row r="122" spans="2:3" x14ac:dyDescent="0.25">
      <c r="B122" s="28" t="s">
        <v>128</v>
      </c>
      <c r="C122" s="93">
        <v>2</v>
      </c>
    </row>
    <row r="123" spans="2:3" x14ac:dyDescent="0.25">
      <c r="B123" s="28" t="s">
        <v>126</v>
      </c>
      <c r="C123" s="93">
        <v>2</v>
      </c>
    </row>
    <row r="124" spans="2:3" x14ac:dyDescent="0.25">
      <c r="B124" s="29" t="s">
        <v>141</v>
      </c>
      <c r="C124" s="93">
        <v>6</v>
      </c>
    </row>
    <row r="125" spans="2:3" x14ac:dyDescent="0.25">
      <c r="B125" s="29" t="s">
        <v>143</v>
      </c>
      <c r="C125" s="93">
        <v>39</v>
      </c>
    </row>
    <row r="126" spans="2:3" x14ac:dyDescent="0.25">
      <c r="B126" s="29" t="s">
        <v>142</v>
      </c>
      <c r="C126" s="93">
        <v>21</v>
      </c>
    </row>
    <row r="127" spans="2:3" x14ac:dyDescent="0.25">
      <c r="B127" s="29" t="s">
        <v>135</v>
      </c>
      <c r="C127" s="95">
        <v>9</v>
      </c>
    </row>
    <row r="128" spans="2:3" x14ac:dyDescent="0.25">
      <c r="B128" s="29" t="s">
        <v>136</v>
      </c>
      <c r="C128" s="95">
        <v>4</v>
      </c>
    </row>
    <row r="129" spans="2:3" x14ac:dyDescent="0.25">
      <c r="B129" s="29" t="s">
        <v>137</v>
      </c>
      <c r="C129" s="95">
        <v>9</v>
      </c>
    </row>
    <row r="130" spans="2:3" x14ac:dyDescent="0.25">
      <c r="B130" s="29" t="s">
        <v>138</v>
      </c>
      <c r="C130" s="95">
        <v>9</v>
      </c>
    </row>
    <row r="131" spans="2:3" x14ac:dyDescent="0.25">
      <c r="B131" s="29" t="s">
        <v>139</v>
      </c>
      <c r="C131" s="95">
        <v>8</v>
      </c>
    </row>
    <row r="132" spans="2:3" x14ac:dyDescent="0.25">
      <c r="B132" s="29" t="s">
        <v>140</v>
      </c>
      <c r="C132" s="95">
        <v>21</v>
      </c>
    </row>
    <row r="133" spans="2:3" x14ac:dyDescent="0.25">
      <c r="B133" s="51" t="s">
        <v>210</v>
      </c>
      <c r="C133" s="95" t="s">
        <v>210</v>
      </c>
    </row>
  </sheetData>
  <sortState ref="B3:C132">
    <sortCondition ref="B3"/>
  </sortState>
  <dataConsolidate>
    <dataRefs count="1">
      <dataRef ref="B3:C57" sheet="IGAD Courses"/>
    </dataRefs>
  </dataConsolid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election activeCell="B2" sqref="B2:D9"/>
    </sheetView>
  </sheetViews>
  <sheetFormatPr defaultRowHeight="13.2" x14ac:dyDescent="0.25"/>
  <cols>
    <col min="2" max="4" width="8.8867187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Course Overview</vt:lpstr>
      <vt:lpstr>Learning Objectives</vt:lpstr>
      <vt:lpstr>Test Blueprint</vt:lpstr>
      <vt:lpstr>Test Quality</vt:lpstr>
      <vt:lpstr>TC Feedback</vt:lpstr>
      <vt:lpstr>IGAD Compentencies</vt:lpstr>
      <vt:lpstr>IGAD Variations+Levels</vt:lpstr>
      <vt:lpstr>IGAD Courses</vt:lpstr>
      <vt:lpstr>Tables</vt:lpstr>
      <vt:lpstr>Course_Compentencies</vt:lpstr>
      <vt:lpstr>Indy_Compentencies</vt:lpstr>
      <vt:lpstr>Learning_Objectives</vt:lpstr>
      <vt:lpstr>Levels</vt:lpstr>
      <vt:lpstr>Variations</vt:lpstr>
    </vt:vector>
  </TitlesOfParts>
  <Company>NHTV</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NHTV</dc:creator>
  <cp:lastModifiedBy>Giuseppe Maggiore</cp:lastModifiedBy>
  <cp:lastPrinted>2011-10-31T08:28:11Z</cp:lastPrinted>
  <dcterms:created xsi:type="dcterms:W3CDTF">2008-04-15T12:11:42Z</dcterms:created>
  <dcterms:modified xsi:type="dcterms:W3CDTF">2013-09-09T08:13:55Z</dcterms:modified>
</cp:coreProperties>
</file>